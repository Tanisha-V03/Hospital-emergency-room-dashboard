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
    </mc:Choice>
  </mc:AlternateContent>
  <bookViews>
    <workbookView xWindow="0" yWindow="0" windowWidth="20490" windowHeight="7050" activeTab="1"/>
  </bookViews>
  <sheets>
    <sheet name="PIVOT_TABLE" sheetId="1" r:id="rId1"/>
    <sheet name="DASHBOARD" sheetId="2" r:id="rId2"/>
    <sheet name="no of patients" sheetId="3" r:id="rId3"/>
    <sheet name="avg wait time" sheetId="4" r:id="rId4"/>
    <sheet name="satisfaction score" sheetId="5" r:id="rId5"/>
  </sheets>
  <definedNames>
    <definedName name="Slicer_Date__Month">#N/A</definedName>
    <definedName name="Slicer_Date__Year">#N/A</definedName>
  </definedNames>
  <calcPr calcId="162913"/>
  <pivotCaches>
    <pivotCache cacheId="114" r:id="rId6"/>
    <pivotCache cacheId="117" r:id="rId7"/>
    <pivotCache cacheId="120" r:id="rId8"/>
    <pivotCache cacheId="123" r:id="rId9"/>
    <pivotCache cacheId="126" r:id="rId10"/>
    <pivotCache cacheId="129" r:id="rId11"/>
    <pivotCache cacheId="132" r:id="rId12"/>
    <pivotCache cacheId="135" r:id="rId13"/>
    <pivotCache cacheId="138" r:id="rId14"/>
    <pivotCache cacheId="141" r:id="rId15"/>
    <pivotCache cacheId="144" r:id="rId16"/>
    <pivotCache cacheId="147"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06c74d0-9b89-4656-a3b2-959b45e73e6d" name="Hospital Emergency Room Data" connection="Query - Hospital Emergency Room Data"/>
          <x15:modelTable id="calendar_8fba2711-a901-4904-a9a0-015a4dba74eb" name="calendar" connection="Query - calendar"/>
        </x15:modelTables>
        <x15:modelRelationships>
          <x15:modelRelationship fromTable="Hospital Emergency Room Data" fromColumn="Patient Admission Date" toTable="calendar" toColumn="Date"/>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6" i="1" l="1"/>
  <c r="B46" i="1"/>
  <c r="A46" i="1"/>
  <c r="C45" i="1"/>
  <c r="B45" i="1"/>
  <c r="A45" i="1"/>
</calcChain>
</file>

<file path=xl/connections.xml><?xml version="1.0" encoding="utf-8"?>
<connections xmlns="http://schemas.openxmlformats.org/spreadsheetml/2006/main">
  <connection id="1" name="Query - calendar" description="Connection to the 'calendar' query in the workbook." type="100" refreshedVersion="6" minRefreshableVersion="5">
    <extLst>
      <ext xmlns:x15="http://schemas.microsoft.com/office/spreadsheetml/2010/11/main" uri="{DE250136-89BD-433C-8126-D09CA5730AF9}">
        <x15:connection id="d9bd28ba-d92f-458a-8484-4939f1a089a6"/>
      </ext>
    </extLst>
  </connection>
  <connection id="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50a0d186-57dc-4dc0-ba32-75d9ded06750"/>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<sst xmlns="http://schemas.openxmlformats.org/spreadsheetml/2006/main" count="152" uniqueCount="67">
  <si>
    <t>Distinct Count of Patient Id</t>
  </si>
  <si>
    <t>Average of Patient Waittime</t>
  </si>
  <si>
    <t>Average of Patient Satisfaction Score</t>
  </si>
  <si>
    <t>Grand Total</t>
  </si>
  <si>
    <t>Row Labels</t>
  </si>
  <si>
    <t>Delayed</t>
  </si>
  <si>
    <t>Ontime</t>
  </si>
  <si>
    <t>Admitted</t>
  </si>
  <si>
    <t>Not Admitted</t>
  </si>
  <si>
    <t>Count of Patient Admission Flag</t>
  </si>
  <si>
    <t>Count of Patient Admission Flag2</t>
  </si>
  <si>
    <t>ADMISSION STATUS</t>
  </si>
  <si>
    <t>% OF TOTAL</t>
  </si>
  <si>
    <t>STATUS  IN %</t>
  </si>
  <si>
    <t>0-09</t>
  </si>
  <si>
    <t>10-19</t>
  </si>
  <si>
    <t>20-29</t>
  </si>
  <si>
    <t>30-39</t>
  </si>
  <si>
    <t>40-49</t>
  </si>
  <si>
    <t>50-59</t>
  </si>
  <si>
    <t>60-69</t>
  </si>
  <si>
    <t>70-79</t>
  </si>
  <si>
    <t>Count of Patient Id</t>
  </si>
  <si>
    <t>Female</t>
  </si>
  <si>
    <t>Male</t>
  </si>
  <si>
    <t>Cardiology</t>
  </si>
  <si>
    <t>Gastroenterology</t>
  </si>
  <si>
    <t>General Practice</t>
  </si>
  <si>
    <t>Neurology</t>
  </si>
  <si>
    <t>None</t>
  </si>
  <si>
    <t>Orthopedics</t>
  </si>
  <si>
    <t>Physiotherapy</t>
  </si>
  <si>
    <t>Renal</t>
  </si>
  <si>
    <t>NO. OF PATIENTS</t>
  </si>
  <si>
    <t>2023</t>
  </si>
  <si>
    <t>Jul</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</si>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</sst>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scheme val="minor"/>
    </font>
    <font>
      <sz val="11"/>
      <color theme="1" tint="0.14999847407452621"/>
      <name val="Calibri"/>
      <family val="2"/>
      <scheme val="minor"/>
    </font>
    <font>
      <sz val="12"/>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3" tint="-0.249977111117893"/>
        <bgColor indexed="64"/>
      </patternFill>
    </fill>
    <fill>
      <patternFill patternType="solid">
        <fgColor theme="8" tint="0.79998168889431442"/>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rgb="FFF66A9F"/>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 fontId="0" fillId="0" borderId="0" xfId="0" applyNumberFormat="1"/>
    <xf numFmtId="0" fontId="0" fillId="3" borderId="0" xfId="0" applyFill="1" applyAlignment="1">
      <alignment horizontal="center" vertical="center"/>
    </xf>
    <xf numFmtId="0" fontId="0" fillId="3" borderId="0" xfId="0" applyFill="1"/>
    <xf numFmtId="0" fontId="2" fillId="4" borderId="0" xfId="0" applyFont="1" applyFill="1"/>
    <xf numFmtId="0" fontId="0" fillId="4" borderId="0" xfId="0" applyFill="1"/>
    <xf numFmtId="0" fontId="0" fillId="5" borderId="0" xfId="0" applyFill="1"/>
    <xf numFmtId="0" fontId="3" fillId="7" borderId="0" xfId="0" applyFont="1" applyFill="1" applyAlignment="1">
      <alignment horizontal="center" vertical="center"/>
    </xf>
    <xf numFmtId="2" fontId="3" fillId="7" borderId="0" xfId="0" applyNumberFormat="1" applyFont="1" applyFill="1" applyAlignment="1">
      <alignment horizontal="center" vertical="center"/>
    </xf>
    <xf numFmtId="10" fontId="3" fillId="7" borderId="0" xfId="1" applyNumberFormat="1" applyFont="1" applyFill="1" applyAlignment="1">
      <alignment horizontal="center" vertical="center"/>
    </xf>
    <xf numFmtId="0" fontId="4" fillId="6" borderId="0" xfId="0" applyFont="1" applyFill="1" applyAlignment="1">
      <alignment horizontal="center" vertical="center"/>
    </xf>
  </cellXfs>
  <cellStyles count="2">
    <cellStyle name="Normal" xfId="0" builtinId="0"/>
    <cellStyle name="Percent" xfId="1" builtinId="5"/>
  </cellStyles>
  <dxfs count="160">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1" formatCode="0.000"/>
    </dxf>
    <dxf>
      <numFmt numFmtId="2" formatCode="0.00"/>
    </dxf>
    <dxf>
      <numFmt numFmtId="172" formatCode="0.0"/>
    </dxf>
    <dxf>
      <numFmt numFmtId="1" formatCode="0"/>
    </dxf>
    <dxf>
      <font>
        <b/>
        <color theme="1"/>
      </font>
      <border>
        <bottom style="thin">
          <color theme="5"/>
        </bottom>
        <vertical/>
        <horizontal/>
      </border>
    </dxf>
    <dxf>
      <font>
        <color theme="1"/>
      </font>
      <fill>
        <patternFill patternType="solid">
          <fgColor auto="1"/>
          <bgColor theme="7" tint="0.79998168889431442"/>
        </patternFill>
      </fill>
      <border diagonalUp="0" diagonalDown="0">
        <left/>
        <right/>
        <top/>
        <bottom/>
        <vertical/>
        <horizontal/>
      </border>
    </dxf>
    <dxf>
      <numFmt numFmtId="164" formatCode="0.000000000"/>
    </dxf>
    <dxf>
      <numFmt numFmtId="165" formatCode="0.0000000000"/>
    </dxf>
    <dxf>
      <numFmt numFmtId="164"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00000000"/>
    </dxf>
    <dxf>
      <numFmt numFmtId="165" formatCode="0.0000000000"/>
    </dxf>
    <dxf>
      <numFmt numFmtId="164" formatCode="0.0000000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1" formatCode="0.000"/>
    </dxf>
    <dxf>
      <numFmt numFmtId="2" formatCode="0.00"/>
    </dxf>
    <dxf>
      <numFmt numFmtId="172"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1" formatCode="0.000"/>
    </dxf>
    <dxf>
      <numFmt numFmtId="2" formatCode="0.00"/>
    </dxf>
    <dxf>
      <numFmt numFmtId="172"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1" formatCode="0.000"/>
    </dxf>
    <dxf>
      <numFmt numFmtId="2" formatCode="0.00"/>
    </dxf>
    <dxf>
      <numFmt numFmtId="172"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71" formatCode="0.000"/>
    </dxf>
    <dxf>
      <numFmt numFmtId="2" formatCode="0.00"/>
    </dxf>
    <dxf>
      <numFmt numFmtId="172" formatCode="0.0"/>
    </dxf>
    <dxf>
      <numFmt numFmtId="1" formatCode="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4" formatCode="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4" formatCode="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 formatCode="0"/>
    </dxf>
    <dxf>
      <numFmt numFmtId="172" formatCode="0.0"/>
    </dxf>
    <dxf>
      <numFmt numFmtId="2" formatCode="0.00"/>
    </dxf>
    <dxf>
      <numFmt numFmtId="171" formatCode="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4" formatCode="0.000000000"/>
    </dxf>
    <dxf>
      <numFmt numFmtId="165" formatCode="0.0000000000"/>
    </dxf>
    <dxf>
      <numFmt numFmtId="164" formatCode="0.000000000"/>
    </dxf>
    <dxf>
      <numFmt numFmtId="1" formatCode="0"/>
    </dxf>
    <dxf>
      <numFmt numFmtId="172" formatCode="0.0"/>
    </dxf>
    <dxf>
      <numFmt numFmtId="2" formatCode="0.00"/>
    </dxf>
    <dxf>
      <numFmt numFmtId="171" formatCode="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numFmt numFmtId="164" formatCode="0.000000000"/>
    </dxf>
    <dxf>
      <numFmt numFmtId="165" formatCode="0.0000000000"/>
    </dxf>
    <dxf>
      <numFmt numFmtId="164" formatCode="0.000000000"/>
    </dxf>
    <dxf>
      <numFmt numFmtId="1" formatCode="0"/>
    </dxf>
    <dxf>
      <numFmt numFmtId="172" formatCode="0.0"/>
    </dxf>
    <dxf>
      <numFmt numFmtId="2" formatCode="0.00"/>
    </dxf>
    <dxf>
      <numFmt numFmtId="171" formatCode="0.000"/>
    </dxf>
    <dxf>
      <numFmt numFmtId="2" formatCode="0.00"/>
    </dxf>
    <dxf>
      <numFmt numFmtId="171" formatCode="0.000"/>
    </dxf>
    <dxf>
      <numFmt numFmtId="170" formatCode="0.0000"/>
    </dxf>
    <dxf>
      <numFmt numFmtId="169" formatCode="0.00000"/>
    </dxf>
    <dxf>
      <numFmt numFmtId="168" formatCode="0.000000"/>
    </dxf>
    <dxf>
      <numFmt numFmtId="167" formatCode="0.0000000"/>
    </dxf>
  </dxfs>
  <tableStyles count="1" defaultTableStyle="TableStyleMedium2" defaultPivotStyle="PivotStyleLight16">
    <tableStyle name="MY SLICER" pivot="0" table="0" count="10">
      <tableStyleElement type="wholeTable" dxfId="11"/>
      <tableStyleElement type="headerRow" dxfId="10"/>
    </tableStyle>
  </tableStyles>
  <colors>
    <mruColors>
      <color rgb="FFF66A9F"/>
      <color rgb="FFF44688"/>
      <color rgb="FFFDA1B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9" tint="0.80001220740379042"/>
              </stop>
              <stop position="1">
                <color theme="8" tint="0.40000610370189521"/>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5" tint="-0.25098422193060094"/>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45">
              <stop position="0">
                <color theme="7" tint="0.59999389629810485"/>
              </stop>
              <stop position="1">
                <color rgb="FFF44688"/>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theme="5" tint="0.80001220740379042"/>
              </stop>
              <stop position="1">
                <color theme="7" tint="0.40000610370189521"/>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theme="5" tint="0.80001220740379042"/>
              </stop>
              <stop position="1">
                <color theme="7" tint="0.40000610370189521"/>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9" tint="0.80001220740379042"/>
              </stop>
              <stop position="1">
                <color theme="8" tint="0.40000610370189521"/>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5" tint="-0.25098422193060094"/>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45">
              <stop position="0">
                <color theme="7" tint="0.59999389629810485"/>
              </stop>
              <stop position="1">
                <color rgb="FFF44688"/>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theme="7" tint="0.80001220740379042"/>
              </stop>
              <stop position="1">
                <color theme="7" tint="0.59999389629810485"/>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theme="7" tint="0.80001220740379042"/>
              </stop>
              <stop position="1">
                <color theme="7" tint="0.59999389629810485"/>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9" tint="0.80001220740379042"/>
              </stop>
              <stop position="1">
                <color theme="8" tint="0.40000610370189521"/>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theme="5" tint="-0.25098422193060094"/>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45">
              <stop position="0">
                <color theme="7" tint="0.59999389629810485"/>
              </stop>
              <stop position="1">
                <color rgb="FFF44688"/>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theme="0"/>
              </stop>
              <stop position="1">
                <color theme="7" tint="0.59999389629810485"/>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theme="0"/>
              </stop>
              <stop position="1">
                <color theme="7" tint="0.59999389629810485"/>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66A9F">
              <a:alpha val="98824"/>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1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rgbClr val="F66A9F">
              <a:alpha val="98824"/>
            </a:srgbClr>
          </a:solidFill>
          <a:ln>
            <a:noFill/>
          </a:ln>
          <a:effectLst/>
        </c:spPr>
        <c:dLbl>
          <c:idx val="0"/>
          <c:layout/>
          <c:tx>
            <c:rich>
              <a:bodyPr/>
              <a:lstStyle/>
              <a:p>
                <a:fld id="{09063F67-C3D4-4EE2-AF37-CDCC92ED3485}" type="CELLRANGE">
                  <a:rPr lang="en-US" sz="810" b="1" i="0" baseline="0"/>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layout>
                <c:manualLayout>
                  <c:w val="0.35995500562429694"/>
                  <c:h val="0.30392950881139857"/>
                </c:manualLayout>
              </c15:layout>
              <c15:dlblFieldTable/>
              <c15:showDataLabelsRange val="1"/>
            </c:ext>
          </c:extLst>
        </c:dLbl>
      </c:pivotFmt>
      <c:pivotFmt>
        <c:idx val="5"/>
        <c:spPr>
          <a:solidFill>
            <a:srgbClr val="F66A9F">
              <a:alpha val="98824"/>
            </a:srgbClr>
          </a:solidFill>
          <a:ln>
            <a:noFill/>
          </a:ln>
          <a:effectLst/>
        </c:spPr>
        <c:dLbl>
          <c:idx val="0"/>
          <c:layout/>
          <c:tx>
            <c:rich>
              <a:bodyPr rot="0" spcFirstLastPara="1" vertOverflow="ellipsis" vert="horz" wrap="square" lIns="38100" tIns="19050" rIns="38100" bIns="19050" anchor="ctr" anchorCtr="1">
                <a:noAutofit/>
              </a:bodyPr>
              <a:lstStyle/>
              <a:p>
                <a:pPr>
                  <a:defRPr sz="810" b="1" i="0" u="none" strike="noStrike" kern="1200" baseline="0">
                    <a:solidFill>
                      <a:schemeClr val="tx1">
                        <a:lumMod val="75000"/>
                        <a:lumOff val="25000"/>
                      </a:schemeClr>
                    </a:solidFill>
                    <a:latin typeface="+mn-lt"/>
                    <a:ea typeface="+mn-ea"/>
                    <a:cs typeface="+mn-cs"/>
                  </a:defRPr>
                </a:pPr>
                <a:fld id="{1CBCFA7D-CAC4-4C9A-9100-5AF2CE0A63BE}" type="CELLRANGE">
                  <a:rPr lang="en-US" sz="810" b="1" i="0" baseline="0"/>
                  <a:pPr>
                    <a:defRPr sz="810" b="1" i="0" baseline="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81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32995875515560558"/>
                  <c:h val="0.26996625421822273"/>
                </c:manualLayout>
              </c15:layout>
              <c15:dlblFieldTable/>
              <c15:showDataLabelsRange val="1"/>
            </c:ext>
          </c:extLst>
        </c:dLbl>
      </c:pivotFmt>
      <c:pivotFmt>
        <c:idx val="6"/>
        <c:spPr>
          <a:solidFill>
            <a:srgbClr val="F66A9F"/>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1.857222392655463E-2"/>
          <c:y val="7.786464191976003E-2"/>
          <c:w val="0.9814281548139816"/>
          <c:h val="0.92213535808024005"/>
        </c:manualLayout>
      </c:layout>
      <c:barChart>
        <c:barDir val="bar"/>
        <c:grouping val="clustered"/>
        <c:varyColors val="0"/>
        <c:ser>
          <c:idx val="0"/>
          <c:order val="0"/>
          <c:tx>
            <c:strRef>
              <c:f>PIVOT_TABLE!$C$45:$C$46</c:f>
              <c:strCache>
                <c:ptCount val="1"/>
                <c:pt idx="0">
                  <c:v>Count of Patient Admission Flag</c:v>
                </c:pt>
              </c:strCache>
            </c:strRef>
          </c:tx>
          <c:spPr>
            <a:solidFill>
              <a:srgbClr val="F66A9F"/>
            </a:solidFill>
            <a:ln>
              <a:noFill/>
            </a:ln>
            <a:effectLst/>
          </c:spPr>
          <c:invertIfNegative val="0"/>
          <c:dPt>
            <c:idx val="0"/>
            <c:invertIfNegative val="0"/>
            <c:bubble3D val="0"/>
            <c:extLst>
              <c:ext xmlns:c16="http://schemas.microsoft.com/office/drawing/2014/chart" uri="{C3380CC4-5D6E-409C-BE32-E72D297353CC}">
                <c16:uniqueId val="{00000001-3AC6-4A27-96C6-BAA3647D791F}"/>
              </c:ext>
            </c:extLst>
          </c:dPt>
          <c:dPt>
            <c:idx val="1"/>
            <c:invertIfNegative val="0"/>
            <c:bubble3D val="0"/>
            <c:extLst>
              <c:ext xmlns:c16="http://schemas.microsoft.com/office/drawing/2014/chart" uri="{C3380CC4-5D6E-409C-BE32-E72D297353CC}">
                <c16:uniqueId val="{00000003-3AC6-4A27-96C6-BAA3647D791F}"/>
              </c:ext>
            </c:extLst>
          </c:dPt>
          <c:cat>
            <c:strRef>
              <c:f>PIVOT_TABLE!$C$45:$C$46</c:f>
              <c:strCache>
                <c:ptCount val="2"/>
                <c:pt idx="0">
                  <c:v>Admitted</c:v>
                </c:pt>
                <c:pt idx="1">
                  <c:v>Not Admitted</c:v>
                </c:pt>
              </c:strCache>
            </c:strRef>
          </c:cat>
          <c:val>
            <c:numRef>
              <c:f>PIVOT_TABLE!$C$45:$C$46</c:f>
              <c:numCache>
                <c:formatCode>0.00</c:formatCode>
                <c:ptCount val="2"/>
                <c:pt idx="0">
                  <c:v>236</c:v>
                </c:pt>
                <c:pt idx="1">
                  <c:v>228</c:v>
                </c:pt>
              </c:numCache>
            </c:numRef>
          </c:val>
          <c:extLst>
            <c:ext xmlns:c16="http://schemas.microsoft.com/office/drawing/2014/chart" uri="{C3380CC4-5D6E-409C-BE32-E72D297353CC}">
              <c16:uniqueId val="{00000006-3189-4462-AF78-3D4964D61538}"/>
            </c:ext>
          </c:extLst>
        </c:ser>
        <c:ser>
          <c:idx val="1"/>
          <c:order val="1"/>
          <c:tx>
            <c:strRef>
              <c:f>PIVOT_TABLE!$C$45:$C$46</c:f>
              <c:strCache>
                <c:ptCount val="1"/>
                <c:pt idx="0">
                  <c:v>Count of Patient Admission Flag2</c:v>
                </c:pt>
              </c:strCache>
            </c:strRef>
          </c:tx>
          <c:spPr>
            <a:solidFill>
              <a:schemeClr val="accent2"/>
            </a:solidFill>
            <a:ln>
              <a:noFill/>
            </a:ln>
            <a:effectLst/>
          </c:spPr>
          <c:invertIfNegative val="0"/>
          <c:cat>
            <c:strRef>
              <c:f>PIVOT_TABLE!$C$45:$C$46</c:f>
              <c:strCache>
                <c:ptCount val="2"/>
                <c:pt idx="0">
                  <c:v>Admitted</c:v>
                </c:pt>
                <c:pt idx="1">
                  <c:v>Not Admitted</c:v>
                </c:pt>
              </c:strCache>
            </c:strRef>
          </c:cat>
          <c:val>
            <c:numRef>
              <c:f>PIVOT_TABLE!$C$45:$C$46</c:f>
              <c:numCache>
                <c:formatCode>0.00%</c:formatCode>
                <c:ptCount val="2"/>
                <c:pt idx="0">
                  <c:v>0.50862068965517238</c:v>
                </c:pt>
                <c:pt idx="1">
                  <c:v>0.49137931034482757</c:v>
                </c:pt>
              </c:numCache>
            </c:numRef>
          </c:val>
          <c:extLst>
            <c:ext xmlns:c16="http://schemas.microsoft.com/office/drawing/2014/chart" uri="{C3380CC4-5D6E-409C-BE32-E72D297353CC}">
              <c16:uniqueId val="{00000007-3189-4462-AF78-3D4964D61538}"/>
            </c:ext>
          </c:extLst>
        </c:ser>
        <c:dLbls>
          <c:showLegendKey val="0"/>
          <c:showVal val="0"/>
          <c:showCatName val="0"/>
          <c:showSerName val="0"/>
          <c:showPercent val="0"/>
          <c:showBubbleSize val="0"/>
        </c:dLbls>
        <c:gapWidth val="0"/>
        <c:axId val="711934672"/>
        <c:axId val="711936336"/>
      </c:barChart>
      <c:catAx>
        <c:axId val="711934672"/>
        <c:scaling>
          <c:orientation val="minMax"/>
        </c:scaling>
        <c:delete val="1"/>
        <c:axPos val="l"/>
        <c:numFmt formatCode="General" sourceLinked="1"/>
        <c:majorTickMark val="none"/>
        <c:minorTickMark val="none"/>
        <c:tickLblPos val="nextTo"/>
        <c:crossAx val="711936336"/>
        <c:crosses val="autoZero"/>
        <c:auto val="1"/>
        <c:lblAlgn val="ctr"/>
        <c:lblOffset val="100"/>
        <c:noMultiLvlLbl val="0"/>
      </c:catAx>
      <c:valAx>
        <c:axId val="711936336"/>
        <c:scaling>
          <c:orientation val="minMax"/>
        </c:scaling>
        <c:delete val="1"/>
        <c:axPos val="b"/>
        <c:numFmt formatCode="0.00" sourceLinked="1"/>
        <c:majorTickMark val="none"/>
        <c:minorTickMark val="none"/>
        <c:tickLblPos val="nextTo"/>
        <c:crossAx val="711934672"/>
        <c:crosses val="autoZero"/>
        <c:crossBetween val="between"/>
      </c:valAx>
      <c:spPr>
        <a:solidFill>
          <a:schemeClr val="accent4">
            <a:lumMod val="20000"/>
            <a:lumOff val="80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DASHBOARD.xlsx]PIVOT_TABLE!PivotTable6</c:name>
    <c:fmtId val="36"/>
  </c:pivotSource>
  <c:chart>
    <c:autoTitleDeleted val="1"/>
    <c:pivotFmts>
      <c:pivotFmt>
        <c:idx val="0"/>
        <c:spPr>
          <a:solidFill>
            <a:schemeClr val="accent1"/>
          </a:solidFill>
          <a:ln>
            <a:noFill/>
          </a:ln>
          <a:effectLst/>
        </c:spPr>
        <c:marker>
          <c:symbol val="none"/>
        </c:marker>
      </c:pivotFmt>
      <c:pivotFmt>
        <c:idx val="1"/>
        <c:spPr>
          <a:gradFill>
            <a:gsLst>
              <a:gs pos="22124">
                <a:srgbClr val="F44688"/>
              </a:gs>
              <a:gs pos="51000">
                <a:schemeClr val="accent2">
                  <a:lumMod val="60000"/>
                  <a:lumOff val="40000"/>
                </a:schemeClr>
              </a:gs>
              <a:gs pos="61000">
                <a:srgbClr val="FFFF00"/>
              </a:gs>
              <a:gs pos="100000">
                <a:srgbClr val="FDA1B0"/>
              </a:gs>
            </a:gsLst>
            <a:lin ang="27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2124">
                <a:srgbClr val="F44688"/>
              </a:gs>
              <a:gs pos="51000">
                <a:schemeClr val="accent2">
                  <a:lumMod val="60000"/>
                  <a:lumOff val="40000"/>
                </a:schemeClr>
              </a:gs>
              <a:gs pos="61000">
                <a:srgbClr val="FFFF00"/>
              </a:gs>
              <a:gs pos="100000">
                <a:srgbClr val="FDA1B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66A9F"/>
          </a:solidFill>
          <a:ln>
            <a:noFill/>
          </a:ln>
          <a:effectLst/>
        </c:spPr>
        <c:marker>
          <c:symbol val="none"/>
        </c:marker>
        <c:dLbl>
          <c:idx val="0"/>
          <c:layout/>
          <c:spPr>
            <a:solidFill>
              <a:schemeClr val="tx1">
                <a:lumMod val="95000"/>
                <a:lumOff val="5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PIVOT_TABLE!$B$50</c:f>
              <c:strCache>
                <c:ptCount val="1"/>
                <c:pt idx="0">
                  <c:v>Total</c:v>
                </c:pt>
              </c:strCache>
            </c:strRef>
          </c:tx>
          <c:spPr>
            <a:solidFill>
              <a:srgbClr val="F66A9F"/>
            </a:solidFill>
            <a:ln>
              <a:noFill/>
            </a:ln>
            <a:effectLst/>
          </c:spPr>
          <c:invertIfNegative val="0"/>
          <c:dLbls>
            <c:spPr>
              <a:solidFill>
                <a:schemeClr val="tx1">
                  <a:lumMod val="95000"/>
                  <a:lumOff val="5000"/>
                  <a:alpha val="1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PIVOT_TABLE!$A$51:$A$59</c:f>
              <c:strCache>
                <c:ptCount val="8"/>
                <c:pt idx="0">
                  <c:v>0-09</c:v>
                </c:pt>
                <c:pt idx="1">
                  <c:v>10-19</c:v>
                </c:pt>
                <c:pt idx="2">
                  <c:v>20-29</c:v>
                </c:pt>
                <c:pt idx="3">
                  <c:v>30-39</c:v>
                </c:pt>
                <c:pt idx="4">
                  <c:v>40-49</c:v>
                </c:pt>
                <c:pt idx="5">
                  <c:v>50-59</c:v>
                </c:pt>
                <c:pt idx="6">
                  <c:v>60-69</c:v>
                </c:pt>
                <c:pt idx="7">
                  <c:v>70-79</c:v>
                </c:pt>
              </c:strCache>
            </c:strRef>
          </c:cat>
          <c:val>
            <c:numRef>
              <c:f>PIVOT_TABLE!$B$51:$B$59</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1-158B-4631-9030-21A423F1C5C2}"/>
            </c:ext>
          </c:extLst>
        </c:ser>
        <c:dLbls>
          <c:showLegendKey val="0"/>
          <c:showVal val="0"/>
          <c:showCatName val="0"/>
          <c:showSerName val="0"/>
          <c:showPercent val="0"/>
          <c:showBubbleSize val="0"/>
        </c:dLbls>
        <c:gapWidth val="219"/>
        <c:overlap val="-27"/>
        <c:axId val="709887072"/>
        <c:axId val="709892064"/>
      </c:barChart>
      <c:catAx>
        <c:axId val="70988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892064"/>
        <c:crosses val="autoZero"/>
        <c:auto val="1"/>
        <c:lblAlgn val="ctr"/>
        <c:lblOffset val="100"/>
        <c:noMultiLvlLbl val="0"/>
      </c:catAx>
      <c:valAx>
        <c:axId val="709892064"/>
        <c:scaling>
          <c:orientation val="minMax"/>
        </c:scaling>
        <c:delete val="1"/>
        <c:axPos val="l"/>
        <c:numFmt formatCode="0" sourceLinked="1"/>
        <c:majorTickMark val="none"/>
        <c:minorTickMark val="none"/>
        <c:tickLblPos val="nextTo"/>
        <c:crossAx val="709887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DASHBOARD.xlsx]PIVOT_TABLE!PivotTable7</c:name>
    <c:fmtId val="40"/>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F44688"/>
          </a:solidFill>
          <a:ln w="19050">
            <a:solidFill>
              <a:schemeClr val="lt1"/>
            </a:solidFill>
          </a:ln>
          <a:effectLst/>
        </c:spPr>
      </c:pivotFmt>
      <c:pivotFmt>
        <c:idx val="2"/>
        <c:spPr>
          <a:gradFill flip="none" rotWithShape="1">
            <a:gsLst>
              <a:gs pos="22124">
                <a:srgbClr val="F44688"/>
              </a:gs>
              <a:gs pos="53000">
                <a:schemeClr val="accent2">
                  <a:lumMod val="60000"/>
                  <a:lumOff val="40000"/>
                </a:schemeClr>
              </a:gs>
              <a:gs pos="100000">
                <a:srgbClr val="F44688"/>
              </a:gs>
            </a:gsLst>
            <a:lin ang="5400000" scaled="1"/>
            <a:tileRect/>
          </a:gradFill>
          <a:ln w="19050">
            <a:solidFill>
              <a:schemeClr val="lt1"/>
            </a:solidFill>
          </a:ln>
          <a:effectLst/>
        </c:spPr>
      </c:pivotFmt>
      <c:pivotFmt>
        <c:idx val="3"/>
        <c:spPr>
          <a:gradFill flip="none" rotWithShape="1">
            <a:gsLst>
              <a:gs pos="22124">
                <a:srgbClr val="FFC000"/>
              </a:gs>
              <a:gs pos="43000">
                <a:schemeClr val="accent2">
                  <a:lumMod val="40000"/>
                  <a:lumOff val="60000"/>
                </a:schemeClr>
              </a:gs>
              <a:gs pos="100000">
                <a:srgbClr val="FFC000"/>
              </a:gs>
            </a:gsLst>
            <a:lin ang="16200000" scaled="1"/>
            <a:tileRect/>
          </a:gra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gradFill flip="none" rotWithShape="1">
            <a:gsLst>
              <a:gs pos="22124">
                <a:srgbClr val="F44688"/>
              </a:gs>
              <a:gs pos="53000">
                <a:schemeClr val="accent2">
                  <a:lumMod val="60000"/>
                  <a:lumOff val="40000"/>
                </a:schemeClr>
              </a:gs>
              <a:gs pos="100000">
                <a:srgbClr val="F44688"/>
              </a:gs>
            </a:gsLst>
            <a:lin ang="5400000" scaled="1"/>
            <a:tileRect/>
          </a:gradFill>
          <a:ln w="19050">
            <a:solidFill>
              <a:schemeClr val="lt1"/>
            </a:solidFill>
          </a:ln>
          <a:effectLst/>
        </c:spPr>
      </c:pivotFmt>
      <c:pivotFmt>
        <c:idx val="6"/>
        <c:spPr>
          <a:gradFill flip="none" rotWithShape="1">
            <a:gsLst>
              <a:gs pos="22124">
                <a:srgbClr val="FFC000"/>
              </a:gs>
              <a:gs pos="43000">
                <a:schemeClr val="accent2">
                  <a:lumMod val="40000"/>
                  <a:lumOff val="60000"/>
                </a:schemeClr>
              </a:gs>
              <a:gs pos="100000">
                <a:srgbClr val="FFC000"/>
              </a:gs>
            </a:gsLst>
            <a:lin ang="16200000" scaled="1"/>
            <a:tileRect/>
          </a:gra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22124">
                <a:srgbClr val="F44688"/>
              </a:gs>
              <a:gs pos="53000">
                <a:schemeClr val="accent2">
                  <a:lumMod val="60000"/>
                  <a:lumOff val="40000"/>
                </a:schemeClr>
              </a:gs>
              <a:gs pos="100000">
                <a:srgbClr val="F44688"/>
              </a:gs>
            </a:gsLst>
            <a:lin ang="5400000" scaled="1"/>
            <a:tileRect/>
          </a:gradFill>
          <a:ln w="19050">
            <a:solidFill>
              <a:schemeClr val="lt1"/>
            </a:solidFill>
          </a:ln>
          <a:effectLst/>
        </c:spPr>
      </c:pivotFmt>
      <c:pivotFmt>
        <c:idx val="9"/>
        <c:spPr>
          <a:gradFill flip="none" rotWithShape="1">
            <a:gsLst>
              <a:gs pos="22124">
                <a:srgbClr val="FFC000"/>
              </a:gs>
              <a:gs pos="43000">
                <a:schemeClr val="accent2">
                  <a:lumMod val="40000"/>
                  <a:lumOff val="60000"/>
                </a:schemeClr>
              </a:gs>
              <a:gs pos="100000">
                <a:srgbClr val="FFC000"/>
              </a:gs>
            </a:gsLst>
            <a:lin ang="16200000" scaled="1"/>
            <a:tileRect/>
          </a:gradFill>
          <a:ln w="19050">
            <a:solidFill>
              <a:schemeClr val="lt1"/>
            </a:solidFill>
          </a:ln>
          <a:effectLst/>
        </c:spPr>
      </c:pivotFmt>
      <c:pivotFmt>
        <c:idx val="10"/>
        <c:spPr>
          <a:solidFill>
            <a:schemeClr val="accent4">
              <a:lumMod val="60000"/>
              <a:lumOff val="40000"/>
            </a:schemeClr>
          </a:solidFill>
          <a:ln w="19050">
            <a:noFill/>
          </a:ln>
          <a:effectLst>
            <a:outerShdw blurRad="12700" dist="50800" dir="5400000" algn="ctr" rotWithShape="0">
              <a:srgbClr val="000000">
                <a:alpha val="43137"/>
              </a:srgbClr>
            </a:outerShdw>
          </a:effectLst>
        </c:spPr>
        <c:dLbl>
          <c:idx val="0"/>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66A9F"/>
          </a:solidFill>
          <a:ln w="19050">
            <a:noFill/>
          </a:ln>
          <a:effectLst>
            <a:outerShdw blurRad="12700" dist="50800" dir="5400000" algn="ctr" rotWithShape="0">
              <a:srgbClr val="000000">
                <a:alpha val="43137"/>
              </a:srgbClr>
            </a:outerShdw>
          </a:effectLst>
        </c:spPr>
        <c:dLbl>
          <c:idx val="0"/>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F66A9F"/>
          </a:solidFill>
          <a:ln w="19050">
            <a:noFill/>
          </a:ln>
          <a:effectLst>
            <a:outerShdw blurRad="12700" dist="50800" dir="5400000" algn="ctr" rotWithShape="0">
              <a:srgbClr val="000000">
                <a:alpha val="43137"/>
              </a:srgbClr>
            </a:outerShdw>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36791176835896"/>
          <c:y val="0.21745882196173433"/>
          <c:w val="0.50024441686920795"/>
          <c:h val="0.74999679681287157"/>
        </c:manualLayout>
      </c:layout>
      <c:pieChart>
        <c:varyColors val="1"/>
        <c:ser>
          <c:idx val="0"/>
          <c:order val="0"/>
          <c:tx>
            <c:strRef>
              <c:f>PIVOT_TABLE!$B$66</c:f>
              <c:strCache>
                <c:ptCount val="1"/>
                <c:pt idx="0">
                  <c:v>Total</c:v>
                </c:pt>
              </c:strCache>
            </c:strRef>
          </c:tx>
          <c:spPr>
            <a:solidFill>
              <a:srgbClr val="F66A9F"/>
            </a:solidFill>
            <a:ln>
              <a:noFill/>
            </a:ln>
            <a:effectLst>
              <a:outerShdw blurRad="12700" dist="50800" dir="5400000" algn="ctr" rotWithShape="0">
                <a:srgbClr val="000000">
                  <a:alpha val="43137"/>
                </a:srgbClr>
              </a:outerShdw>
            </a:effectLst>
          </c:spPr>
          <c:dPt>
            <c:idx val="0"/>
            <c:bubble3D val="0"/>
            <c:spPr>
              <a:solidFill>
                <a:schemeClr val="accent4">
                  <a:lumMod val="60000"/>
                  <a:lumOff val="40000"/>
                </a:schemeClr>
              </a:solidFill>
              <a:ln w="19050">
                <a:noFill/>
              </a:ln>
              <a:effectLst>
                <a:outerShdw blurRad="12700" dist="50800" dir="5400000" algn="ctr" rotWithShape="0">
                  <a:srgbClr val="000000">
                    <a:alpha val="43137"/>
                  </a:srgbClr>
                </a:outerShdw>
              </a:effectLst>
            </c:spPr>
            <c:extLst>
              <c:ext xmlns:c16="http://schemas.microsoft.com/office/drawing/2014/chart" uri="{C3380CC4-5D6E-409C-BE32-E72D297353CC}">
                <c16:uniqueId val="{00000001-7E2A-47E2-A10A-94B6B37C6F3A}"/>
              </c:ext>
            </c:extLst>
          </c:dPt>
          <c:dPt>
            <c:idx val="1"/>
            <c:bubble3D val="0"/>
            <c:spPr>
              <a:solidFill>
                <a:srgbClr val="F66A9F"/>
              </a:solidFill>
              <a:ln w="19050">
                <a:noFill/>
              </a:ln>
              <a:effectLst>
                <a:outerShdw blurRad="12700" dist="50800" dir="5400000" algn="ctr" rotWithShape="0">
                  <a:srgbClr val="000000">
                    <a:alpha val="43137"/>
                  </a:srgbClr>
                </a:outerShdw>
              </a:effectLst>
            </c:spPr>
            <c:extLst>
              <c:ext xmlns:c16="http://schemas.microsoft.com/office/drawing/2014/chart" uri="{C3380CC4-5D6E-409C-BE32-E72D297353CC}">
                <c16:uniqueId val="{00000003-7E2A-47E2-A10A-94B6B37C6F3A}"/>
              </c:ext>
            </c:extLst>
          </c:dPt>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E2A-47E2-A10A-94B6B37C6F3A}"/>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E2A-47E2-A10A-94B6B37C6F3A}"/>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PIVOT_TABLE!$A$67:$A$69</c:f>
              <c:strCache>
                <c:ptCount val="2"/>
                <c:pt idx="0">
                  <c:v>Delayed</c:v>
                </c:pt>
                <c:pt idx="1">
                  <c:v>Ontime</c:v>
                </c:pt>
              </c:strCache>
            </c:strRef>
          </c:cat>
          <c:val>
            <c:numRef>
              <c:f>PIVOT_TABLE!$B$67:$B$69</c:f>
              <c:numCache>
                <c:formatCode>0</c:formatCode>
                <c:ptCount val="2"/>
                <c:pt idx="0">
                  <c:v>267</c:v>
                </c:pt>
                <c:pt idx="1">
                  <c:v>197</c:v>
                </c:pt>
              </c:numCache>
            </c:numRef>
          </c:val>
          <c:extLst>
            <c:ext xmlns:c16="http://schemas.microsoft.com/office/drawing/2014/chart" uri="{C3380CC4-5D6E-409C-BE32-E72D297353CC}">
              <c16:uniqueId val="{00000005-005C-4C5E-8FDE-67AEE972D8F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7.0662073490813646E-2"/>
          <c:y val="0"/>
          <c:w val="0.87321501028587645"/>
          <c:h val="0.2550236693977620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DASHBOARD.xlsx]PIVOT_TABLE!PivotTable8</c:name>
    <c:fmtId val="4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gradFill>
            <a:gsLst>
              <a:gs pos="22124">
                <a:srgbClr val="F44688"/>
              </a:gs>
              <a:gs pos="53000">
                <a:schemeClr val="accent2">
                  <a:lumMod val="60000"/>
                  <a:lumOff val="40000"/>
                </a:schemeClr>
              </a:gs>
              <a:gs pos="100000">
                <a:srgbClr val="F44688"/>
              </a:gs>
            </a:gsLst>
            <a:lin ang="5400000" scaled="1"/>
          </a:gradFill>
          <a:ln w="19050">
            <a:solidFill>
              <a:schemeClr val="lt1"/>
            </a:solidFill>
          </a:ln>
          <a:effectLst/>
        </c:spPr>
      </c:pivotFmt>
      <c:pivotFmt>
        <c:idx val="3"/>
        <c:spPr>
          <a:gradFill>
            <a:gsLst>
              <a:gs pos="92057">
                <a:srgbClr val="FFC000"/>
              </a:gs>
              <a:gs pos="22124">
                <a:srgbClr val="FFC000"/>
              </a:gs>
              <a:gs pos="53000">
                <a:schemeClr val="accent2">
                  <a:lumMod val="60000"/>
                  <a:lumOff val="40000"/>
                </a:schemeClr>
              </a:gs>
              <a:gs pos="100000">
                <a:srgbClr val="F44688"/>
              </a:gs>
            </a:gsLst>
            <a:lin ang="5400000" scaled="1"/>
          </a:gra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gradFill>
            <a:gsLst>
              <a:gs pos="22124">
                <a:srgbClr val="F44688"/>
              </a:gs>
              <a:gs pos="53000">
                <a:schemeClr val="accent2">
                  <a:lumMod val="60000"/>
                  <a:lumOff val="40000"/>
                </a:schemeClr>
              </a:gs>
              <a:gs pos="100000">
                <a:srgbClr val="F44688"/>
              </a:gs>
            </a:gsLst>
            <a:lin ang="5400000" scaled="1"/>
          </a:gradFill>
          <a:ln w="19050">
            <a:solidFill>
              <a:schemeClr val="lt1"/>
            </a:solidFill>
          </a:ln>
          <a:effectLst/>
        </c:spPr>
      </c:pivotFmt>
      <c:pivotFmt>
        <c:idx val="6"/>
        <c:spPr>
          <a:gradFill>
            <a:gsLst>
              <a:gs pos="92057">
                <a:srgbClr val="FFC000"/>
              </a:gs>
              <a:gs pos="22124">
                <a:srgbClr val="FFC000"/>
              </a:gs>
              <a:gs pos="53000">
                <a:schemeClr val="accent2">
                  <a:lumMod val="60000"/>
                  <a:lumOff val="40000"/>
                </a:schemeClr>
              </a:gs>
              <a:gs pos="100000">
                <a:srgbClr val="F44688"/>
              </a:gs>
            </a:gsLst>
            <a:lin ang="5400000" scaled="1"/>
          </a:gradFill>
          <a:ln w="19050">
            <a:solidFill>
              <a:schemeClr val="lt1"/>
            </a:solidFill>
          </a:ln>
          <a:effectLst/>
        </c:spPr>
      </c:pivotFmt>
      <c:pivotFmt>
        <c:idx val="7"/>
        <c:spPr>
          <a:solidFill>
            <a:srgbClr val="F66A9F"/>
          </a:solidFill>
          <a:ln w="19050">
            <a:noFill/>
          </a:ln>
          <a:effectLst/>
        </c:spPr>
        <c:marker>
          <c:symbol val="none"/>
        </c:marker>
        <c:dLbl>
          <c:idx val="0"/>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4">
              <a:lumMod val="60000"/>
              <a:lumOff val="40000"/>
            </a:schemeClr>
          </a:solidFill>
          <a:ln w="19050">
            <a:noFill/>
          </a:ln>
          <a:effectLst/>
        </c:spPr>
      </c:pivotFmt>
      <c:pivotFmt>
        <c:idx val="9"/>
        <c:spPr>
          <a:solidFill>
            <a:srgbClr val="F66A9F"/>
          </a:solidFill>
          <a:ln w="19050">
            <a:noFill/>
          </a:ln>
          <a:effectLst/>
        </c:spPr>
      </c:pivotFmt>
    </c:pivotFmts>
    <c:plotArea>
      <c:layout>
        <c:manualLayout>
          <c:layoutTarget val="inner"/>
          <c:xMode val="edge"/>
          <c:yMode val="edge"/>
          <c:x val="0.2714631087780694"/>
          <c:y val="0.33159740449110525"/>
          <c:w val="0.45833333333333326"/>
          <c:h val="0.76388888888888884"/>
        </c:manualLayout>
      </c:layout>
      <c:doughnutChart>
        <c:varyColors val="1"/>
        <c:ser>
          <c:idx val="0"/>
          <c:order val="0"/>
          <c:tx>
            <c:strRef>
              <c:f>PIVOT_TABLE!$B$72</c:f>
              <c:strCache>
                <c:ptCount val="1"/>
                <c:pt idx="0">
                  <c:v>Total</c:v>
                </c:pt>
              </c:strCache>
            </c:strRef>
          </c:tx>
          <c:spPr>
            <a:solidFill>
              <a:srgbClr val="F66A9F"/>
            </a:solidFill>
            <a:ln>
              <a:noFill/>
            </a:ln>
          </c:spPr>
          <c:dPt>
            <c:idx val="0"/>
            <c:bubble3D val="0"/>
            <c:spPr>
              <a:solidFill>
                <a:schemeClr val="accent4">
                  <a:lumMod val="60000"/>
                  <a:lumOff val="40000"/>
                </a:schemeClr>
              </a:solidFill>
              <a:ln w="19050">
                <a:noFill/>
              </a:ln>
              <a:effectLst/>
            </c:spPr>
            <c:extLst>
              <c:ext xmlns:c16="http://schemas.microsoft.com/office/drawing/2014/chart" uri="{C3380CC4-5D6E-409C-BE32-E72D297353CC}">
                <c16:uniqueId val="{00000001-724D-4925-B379-1F7E8353A145}"/>
              </c:ext>
            </c:extLst>
          </c:dPt>
          <c:dPt>
            <c:idx val="1"/>
            <c:bubble3D val="0"/>
            <c:spPr>
              <a:solidFill>
                <a:srgbClr val="F66A9F"/>
              </a:solidFill>
              <a:ln w="19050">
                <a:noFill/>
              </a:ln>
              <a:effectLst/>
            </c:spPr>
            <c:extLst>
              <c:ext xmlns:c16="http://schemas.microsoft.com/office/drawing/2014/chart" uri="{C3380CC4-5D6E-409C-BE32-E72D297353CC}">
                <c16:uniqueId val="{00000003-724D-4925-B379-1F7E8353A145}"/>
              </c:ext>
            </c:extLst>
          </c:dPt>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PIVOT_TABLE!$A$73:$A$75</c:f>
              <c:strCache>
                <c:ptCount val="2"/>
                <c:pt idx="0">
                  <c:v>Female</c:v>
                </c:pt>
                <c:pt idx="1">
                  <c:v>Male</c:v>
                </c:pt>
              </c:strCache>
            </c:strRef>
          </c:cat>
          <c:val>
            <c:numRef>
              <c:f>PIVOT_TABLE!$B$73:$B$75</c:f>
              <c:numCache>
                <c:formatCode>0</c:formatCode>
                <c:ptCount val="2"/>
                <c:pt idx="0">
                  <c:v>228</c:v>
                </c:pt>
                <c:pt idx="1">
                  <c:v>236</c:v>
                </c:pt>
              </c:numCache>
            </c:numRef>
          </c:val>
          <c:extLst>
            <c:ext xmlns:c16="http://schemas.microsoft.com/office/drawing/2014/chart" uri="{C3380CC4-5D6E-409C-BE32-E72D297353CC}">
              <c16:uniqueId val="{00000005-A359-472A-8E67-2E2B6D64E097}"/>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0.11937461521013577"/>
          <c:y val="8.391148354162152E-2"/>
          <c:w val="0.7168322925151599"/>
          <c:h val="0.16819860820149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DASHBOARD.xlsx]PIVOT_TABLE!PivotTable9</c:name>
    <c:fmtId val="4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66A9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8847287239779962"/>
          <c:y val="3.0131826741996232E-2"/>
          <c:w val="0.67134447920037388"/>
          <c:h val="0.93973634651600757"/>
        </c:manualLayout>
      </c:layout>
      <c:barChart>
        <c:barDir val="bar"/>
        <c:grouping val="clustered"/>
        <c:varyColors val="0"/>
        <c:ser>
          <c:idx val="0"/>
          <c:order val="0"/>
          <c:tx>
            <c:strRef>
              <c:f>PIVOT_TABLE!$B$79</c:f>
              <c:strCache>
                <c:ptCount val="1"/>
                <c:pt idx="0">
                  <c:v>Total</c:v>
                </c:pt>
              </c:strCache>
            </c:strRef>
          </c:tx>
          <c:spPr>
            <a:solidFill>
              <a:srgbClr val="F66A9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PIVOT_TABLE!$A$80:$A$88</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PIVOT_TABLE!$B$80:$B$88</c:f>
              <c:numCache>
                <c:formatCode>0</c:formatCode>
                <c:ptCount val="8"/>
                <c:pt idx="0">
                  <c:v>3</c:v>
                </c:pt>
                <c:pt idx="1">
                  <c:v>9</c:v>
                </c:pt>
                <c:pt idx="2">
                  <c:v>12</c:v>
                </c:pt>
                <c:pt idx="3">
                  <c:v>8</c:v>
                </c:pt>
                <c:pt idx="4">
                  <c:v>11</c:v>
                </c:pt>
                <c:pt idx="5">
                  <c:v>54</c:v>
                </c:pt>
                <c:pt idx="6">
                  <c:v>87</c:v>
                </c:pt>
                <c:pt idx="7">
                  <c:v>280</c:v>
                </c:pt>
              </c:numCache>
            </c:numRef>
          </c:val>
          <c:extLst>
            <c:ext xmlns:c16="http://schemas.microsoft.com/office/drawing/2014/chart" uri="{C3380CC4-5D6E-409C-BE32-E72D297353CC}">
              <c16:uniqueId val="{00000001-9B31-4017-81ED-5439F233A8E2}"/>
            </c:ext>
          </c:extLst>
        </c:ser>
        <c:dLbls>
          <c:showLegendKey val="0"/>
          <c:showVal val="0"/>
          <c:showCatName val="0"/>
          <c:showSerName val="0"/>
          <c:showPercent val="0"/>
          <c:showBubbleSize val="0"/>
        </c:dLbls>
        <c:gapWidth val="40"/>
        <c:axId val="724394144"/>
        <c:axId val="724399552"/>
      </c:barChart>
      <c:catAx>
        <c:axId val="72439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99552"/>
        <c:crosses val="autoZero"/>
        <c:auto val="1"/>
        <c:lblAlgn val="ctr"/>
        <c:lblOffset val="100"/>
        <c:noMultiLvlLbl val="0"/>
      </c:catAx>
      <c:valAx>
        <c:axId val="724399552"/>
        <c:scaling>
          <c:orientation val="minMax"/>
        </c:scaling>
        <c:delete val="1"/>
        <c:axPos val="b"/>
        <c:numFmt formatCode="0" sourceLinked="1"/>
        <c:majorTickMark val="none"/>
        <c:minorTickMark val="none"/>
        <c:tickLblPos val="nextTo"/>
        <c:crossAx val="7243941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DASHBOARD.xlsx]PIVOT_TABLE!PivotTable4</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66A9F"/>
          </a:solidFill>
          <a:ln>
            <a:solidFill>
              <a:srgbClr val="002060"/>
            </a:solidFill>
          </a:ln>
          <a:effectLst/>
        </c:spPr>
        <c:marker>
          <c:symbol val="none"/>
        </c:marker>
      </c:pivotFmt>
    </c:pivotFmts>
    <c:plotArea>
      <c:layout>
        <c:manualLayout>
          <c:layoutTarget val="inner"/>
          <c:xMode val="edge"/>
          <c:yMode val="edge"/>
          <c:x val="2.4728563605808255E-3"/>
          <c:y val="0"/>
          <c:w val="0.99752714363941919"/>
          <c:h val="1"/>
        </c:manualLayout>
      </c:layout>
      <c:areaChart>
        <c:grouping val="standard"/>
        <c:varyColors val="0"/>
        <c:ser>
          <c:idx val="0"/>
          <c:order val="0"/>
          <c:tx>
            <c:strRef>
              <c:f>PIVOT_TABLE!$D$3</c:f>
              <c:strCache>
                <c:ptCount val="1"/>
                <c:pt idx="0">
                  <c:v>Total</c:v>
                </c:pt>
              </c:strCache>
            </c:strRef>
          </c:tx>
          <c:spPr>
            <a:solidFill>
              <a:srgbClr val="F66A9F"/>
            </a:solidFill>
            <a:ln>
              <a:solidFill>
                <a:srgbClr val="002060"/>
              </a:solidFill>
            </a:ln>
            <a:effectLst/>
          </c:spPr>
          <c:cat>
            <c:multiLvlStrRef>
              <c:f>PIVOT_TABLE!$C$4:$C$36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PIVOT_TABLE!$D$4:$D$36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0-0B8B-4D49-B1CB-8082AC4A9E37}"/>
            </c:ext>
          </c:extLst>
        </c:ser>
        <c:dLbls>
          <c:showLegendKey val="0"/>
          <c:showVal val="0"/>
          <c:showCatName val="0"/>
          <c:showSerName val="0"/>
          <c:showPercent val="0"/>
          <c:showBubbleSize val="0"/>
        </c:dLbls>
        <c:axId val="787155904"/>
        <c:axId val="787152992"/>
      </c:areaChart>
      <c:catAx>
        <c:axId val="787155904"/>
        <c:scaling>
          <c:orientation val="minMax"/>
        </c:scaling>
        <c:delete val="1"/>
        <c:axPos val="b"/>
        <c:numFmt formatCode="General" sourceLinked="1"/>
        <c:majorTickMark val="out"/>
        <c:minorTickMark val="none"/>
        <c:tickLblPos val="nextTo"/>
        <c:crossAx val="787152992"/>
        <c:crosses val="autoZero"/>
        <c:auto val="1"/>
        <c:lblAlgn val="ctr"/>
        <c:lblOffset val="100"/>
        <c:noMultiLvlLbl val="0"/>
      </c:catAx>
      <c:valAx>
        <c:axId val="787152992"/>
        <c:scaling>
          <c:orientation val="minMax"/>
        </c:scaling>
        <c:delete val="1"/>
        <c:axPos val="l"/>
        <c:numFmt formatCode="General" sourceLinked="1"/>
        <c:majorTickMark val="none"/>
        <c:minorTickMark val="none"/>
        <c:tickLblPos val="nextTo"/>
        <c:crossAx val="78715590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DASHBOARD.xlsx]PIVOT_TABLE!PivotTable11</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66A9F"/>
          </a:solidFill>
          <a:ln>
            <a:solidFill>
              <a:schemeClr val="tx1">
                <a:lumMod val="95000"/>
                <a:lumOff val="5000"/>
              </a:schemeClr>
            </a:solidFill>
          </a:ln>
          <a:effectLst/>
        </c:spPr>
        <c:marker>
          <c:symbol val="none"/>
        </c:marker>
      </c:pivotFmt>
    </c:pivotFmts>
    <c:plotArea>
      <c:layout>
        <c:manualLayout>
          <c:layoutTarget val="inner"/>
          <c:xMode val="edge"/>
          <c:yMode val="edge"/>
          <c:x val="1.0256410256410256E-2"/>
          <c:y val="0.17886178861788618"/>
          <c:w val="0.98974358974358978"/>
          <c:h val="0.82113821138211385"/>
        </c:manualLayout>
      </c:layout>
      <c:areaChart>
        <c:grouping val="standard"/>
        <c:varyColors val="0"/>
        <c:ser>
          <c:idx val="0"/>
          <c:order val="0"/>
          <c:tx>
            <c:strRef>
              <c:f>PIVOT_TABLE!$G$4</c:f>
              <c:strCache>
                <c:ptCount val="1"/>
                <c:pt idx="0">
                  <c:v>Total</c:v>
                </c:pt>
              </c:strCache>
            </c:strRef>
          </c:tx>
          <c:spPr>
            <a:solidFill>
              <a:srgbClr val="F66A9F"/>
            </a:solidFill>
            <a:ln>
              <a:solidFill>
                <a:schemeClr val="tx1">
                  <a:lumMod val="95000"/>
                  <a:lumOff val="5000"/>
                </a:schemeClr>
              </a:solidFill>
            </a:ln>
            <a:effectLst/>
          </c:spPr>
          <c:cat>
            <c:strRef>
              <c:f>PIVOT_TABLE!$F$5:$F$36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PIVOT_TABLE!$G$5:$G$36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664B-484C-9442-9F0F0B385C82}"/>
            </c:ext>
          </c:extLst>
        </c:ser>
        <c:dLbls>
          <c:showLegendKey val="0"/>
          <c:showVal val="0"/>
          <c:showCatName val="0"/>
          <c:showSerName val="0"/>
          <c:showPercent val="0"/>
          <c:showBubbleSize val="0"/>
        </c:dLbls>
        <c:axId val="791731632"/>
        <c:axId val="791717488"/>
      </c:areaChart>
      <c:catAx>
        <c:axId val="791731632"/>
        <c:scaling>
          <c:orientation val="minMax"/>
        </c:scaling>
        <c:delete val="1"/>
        <c:axPos val="b"/>
        <c:numFmt formatCode="General" sourceLinked="1"/>
        <c:majorTickMark val="out"/>
        <c:minorTickMark val="none"/>
        <c:tickLblPos val="nextTo"/>
        <c:crossAx val="791717488"/>
        <c:crosses val="autoZero"/>
        <c:auto val="1"/>
        <c:lblAlgn val="ctr"/>
        <c:lblOffset val="100"/>
        <c:noMultiLvlLbl val="0"/>
      </c:catAx>
      <c:valAx>
        <c:axId val="791717488"/>
        <c:scaling>
          <c:orientation val="minMax"/>
        </c:scaling>
        <c:delete val="1"/>
        <c:axPos val="l"/>
        <c:numFmt formatCode="0.00" sourceLinked="1"/>
        <c:majorTickMark val="none"/>
        <c:minorTickMark val="none"/>
        <c:tickLblPos val="nextTo"/>
        <c:crossAx val="791731632"/>
        <c:crosses val="autoZero"/>
        <c:crossBetween val="midCat"/>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DASHBOARD.xlsx]PIVOT_TABLE!PivotTable13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66A9F"/>
          </a:solidFill>
          <a:ln>
            <a:solidFill>
              <a:schemeClr val="tx1">
                <a:lumMod val="95000"/>
                <a:lumOff val="5000"/>
              </a:schemeClr>
            </a:solidFill>
          </a:ln>
          <a:effectLst/>
        </c:spPr>
        <c:marker>
          <c:symbol val="none"/>
        </c:marker>
      </c:pivotFmt>
    </c:pivotFmts>
    <c:plotArea>
      <c:layout>
        <c:manualLayout>
          <c:layoutTarget val="inner"/>
          <c:xMode val="edge"/>
          <c:yMode val="edge"/>
          <c:x val="3.3500828683884335E-3"/>
          <c:y val="3.6088565852345378E-2"/>
          <c:w val="0.9932998342632231"/>
          <c:h val="0.95568207820176321"/>
        </c:manualLayout>
      </c:layout>
      <c:areaChart>
        <c:grouping val="standard"/>
        <c:varyColors val="0"/>
        <c:ser>
          <c:idx val="0"/>
          <c:order val="0"/>
          <c:tx>
            <c:strRef>
              <c:f>PIVOT_TABLE!$K$5</c:f>
              <c:strCache>
                <c:ptCount val="1"/>
                <c:pt idx="0">
                  <c:v>Total</c:v>
                </c:pt>
              </c:strCache>
            </c:strRef>
          </c:tx>
          <c:spPr>
            <a:solidFill>
              <a:srgbClr val="F66A9F"/>
            </a:solidFill>
            <a:ln>
              <a:solidFill>
                <a:schemeClr val="tx1">
                  <a:lumMod val="95000"/>
                  <a:lumOff val="5000"/>
                </a:schemeClr>
              </a:solidFill>
            </a:ln>
            <a:effectLst/>
          </c:spPr>
          <c:cat>
            <c:strRef>
              <c:f>PIVOT_TABLE!$J$6:$J$37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PIVOT_TABLE!$K$6:$K$37</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2607-41F7-B4D2-B9A7E425C265}"/>
            </c:ext>
          </c:extLst>
        </c:ser>
        <c:dLbls>
          <c:showLegendKey val="0"/>
          <c:showVal val="0"/>
          <c:showCatName val="0"/>
          <c:showSerName val="0"/>
          <c:showPercent val="0"/>
          <c:showBubbleSize val="0"/>
        </c:dLbls>
        <c:axId val="791728720"/>
        <c:axId val="791720816"/>
      </c:areaChart>
      <c:catAx>
        <c:axId val="791728720"/>
        <c:scaling>
          <c:orientation val="minMax"/>
        </c:scaling>
        <c:delete val="1"/>
        <c:axPos val="b"/>
        <c:numFmt formatCode="General" sourceLinked="1"/>
        <c:majorTickMark val="out"/>
        <c:minorTickMark val="none"/>
        <c:tickLblPos val="nextTo"/>
        <c:crossAx val="791720816"/>
        <c:crosses val="autoZero"/>
        <c:auto val="1"/>
        <c:lblAlgn val="ctr"/>
        <c:lblOffset val="100"/>
        <c:noMultiLvlLbl val="0"/>
      </c:catAx>
      <c:valAx>
        <c:axId val="791720816"/>
        <c:scaling>
          <c:orientation val="minMax"/>
        </c:scaling>
        <c:delete val="1"/>
        <c:axPos val="l"/>
        <c:numFmt formatCode="0.00" sourceLinked="1"/>
        <c:majorTickMark val="none"/>
        <c:minorTickMark val="none"/>
        <c:tickLblPos val="nextTo"/>
        <c:crossAx val="791728720"/>
        <c:crosses val="autoZero"/>
        <c:crossBetween val="midCat"/>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DASHBOARD.xlsx]PIVOT_TABLE!PivotTable4</c:name>
    <c:fmtId val="13"/>
  </c:pivotSource>
  <c:chart>
    <c:autoTitleDeleted val="1"/>
    <c:pivotFmts>
      <c:pivotFmt>
        <c:idx val="0"/>
      </c:pivotFmt>
      <c:pivotFmt>
        <c:idx val="1"/>
      </c:pivotFmt>
      <c:pivotFmt>
        <c:idx val="2"/>
      </c:pivotFmt>
      <c:pivotFmt>
        <c:idx val="3"/>
      </c:pivotFmt>
      <c:pivotFmt>
        <c:idx val="4"/>
      </c:pivotFmt>
      <c:pivotFmt>
        <c:idx val="5"/>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PIVOT_TABLE!$D$3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multiLvlStrRef>
              <c:f>PIVOT_TABLE!$C$4:$C$36</c:f>
              <c:multiLvlStrCache>
                <c:ptCount val="31"/>
                <c:lvl>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lvl>
                <c:lvl>
                  <c:pt idx="0">
                    <c:v>Jul</c:v>
                  </c:pt>
                </c:lvl>
              </c:multiLvlStrCache>
            </c:multiLvlStrRef>
          </c:cat>
          <c:val>
            <c:numRef>
              <c:f>PIVOT_TABLE!$D$4:$D$36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1-7BC0-4050-85EF-2F778620736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7155904"/>
        <c:axId val="787152992"/>
      </c:areaChart>
      <c:catAx>
        <c:axId val="7871559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7152992"/>
        <c:crosses val="autoZero"/>
        <c:auto val="1"/>
        <c:lblAlgn val="ctr"/>
        <c:lblOffset val="100"/>
        <c:noMultiLvlLbl val="0"/>
      </c:catAx>
      <c:valAx>
        <c:axId val="787152992"/>
        <c:scaling>
          <c:orientation val="minMax"/>
        </c:scaling>
        <c:delete val="1"/>
        <c:axPos val="l"/>
        <c:numFmt formatCode="General" sourceLinked="1"/>
        <c:majorTickMark val="out"/>
        <c:minorTickMark val="none"/>
        <c:tickLblPos val="nextTo"/>
        <c:crossAx val="78715590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DASHBOARD.xlsx]PIVOT_TABLE!PivotTable11</c:name>
    <c:fmtId val="7"/>
  </c:pivotSource>
  <c:chart>
    <c:autoTitleDeleted val="1"/>
    <c:pivotFmts>
      <c:pivotFmt>
        <c:idx val="0"/>
      </c:pivotFmt>
      <c:pivotFmt>
        <c:idx val="1"/>
      </c:pivotFmt>
      <c:pivotFmt>
        <c:idx val="2"/>
      </c:pivotFmt>
      <c:pivotFmt>
        <c:idx val="3"/>
      </c:pivotFmt>
      <c:pivotFmt>
        <c:idx val="4"/>
      </c:pivotFmt>
      <c:pivotFmt>
        <c:idx val="5"/>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PIVOT_TABLE!$F$5:$F$36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PIVOT_TABLE!$G$5:$G$36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0-3B03-4632-A0F6-EF3F2609DF6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1731632"/>
        <c:axId val="791717488"/>
      </c:areaChart>
      <c:catAx>
        <c:axId val="79173163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1717488"/>
        <c:crosses val="autoZero"/>
        <c:auto val="1"/>
        <c:lblAlgn val="ctr"/>
        <c:lblOffset val="100"/>
        <c:noMultiLvlLbl val="0"/>
      </c:catAx>
      <c:valAx>
        <c:axId val="791717488"/>
        <c:scaling>
          <c:orientation val="minMax"/>
        </c:scaling>
        <c:delete val="1"/>
        <c:axPos val="l"/>
        <c:numFmt formatCode="0.00" sourceLinked="1"/>
        <c:majorTickMark val="out"/>
        <c:minorTickMark val="none"/>
        <c:tickLblPos val="nextTo"/>
        <c:crossAx val="79173163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ROOM DASHBOARD.xlsx]PIVOT_TABLE!PivotTable13</c:name>
    <c:fmtId val="8"/>
  </c:pivotSource>
  <c:chart>
    <c:autoTitleDeleted val="1"/>
    <c:pivotFmts>
      <c:pivotFmt>
        <c:idx val="0"/>
      </c:pivotFmt>
      <c:pivotFmt>
        <c:idx val="1"/>
      </c:pivotFmt>
      <c:pivotFmt>
        <c:idx val="2"/>
      </c:pivotFmt>
      <c:pivotFmt>
        <c:idx val="3"/>
      </c:pivotFmt>
      <c:pivotFmt>
        <c:idx val="4"/>
      </c:pivotFmt>
      <c:pivotFmt>
        <c:idx val="5"/>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PIVOT_TABLE!$J$6:$J$37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PIVOT_TABLE!$K$6:$K$37</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0-17F9-4DDE-8872-09E6930FCE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1728720"/>
        <c:axId val="791720816"/>
      </c:areaChart>
      <c:catAx>
        <c:axId val="791728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1720816"/>
        <c:crosses val="autoZero"/>
        <c:auto val="1"/>
        <c:lblAlgn val="ctr"/>
        <c:lblOffset val="100"/>
        <c:noMultiLvlLbl val="0"/>
      </c:catAx>
      <c:valAx>
        <c:axId val="791720816"/>
        <c:scaling>
          <c:orientation val="minMax"/>
        </c:scaling>
        <c:delete val="1"/>
        <c:axPos val="l"/>
        <c:numFmt formatCode="0.00" sourceLinked="1"/>
        <c:majorTickMark val="out"/>
        <c:minorTickMark val="none"/>
        <c:tickLblPos val="nextTo"/>
        <c:crossAx val="791728720"/>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5.png"/><Relationship Id="rId3" Type="http://schemas.openxmlformats.org/officeDocument/2006/relationships/image" Target="../media/image2.emf"/><Relationship Id="rId7" Type="http://schemas.openxmlformats.org/officeDocument/2006/relationships/hyperlink" Target="#'no of patients'!A1"/><Relationship Id="rId12" Type="http://schemas.openxmlformats.org/officeDocument/2006/relationships/hyperlink" Target="#'satisfaction score'!A1"/><Relationship Id="rId2" Type="http://schemas.openxmlformats.org/officeDocument/2006/relationships/chart" Target="../charts/chart2.xml"/><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chart" Target="../charts/chart7.xml"/><Relationship Id="rId10" Type="http://schemas.openxmlformats.org/officeDocument/2006/relationships/hyperlink" Target="#'avg wait time'!A1"/><Relationship Id="rId4" Type="http://schemas.openxmlformats.org/officeDocument/2006/relationships/chart" Target="../charts/chart3.xml"/><Relationship Id="rId9" Type="http://schemas.microsoft.com/office/2007/relationships/hdphoto" Target="../media/hdphoto1.wdp"/><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 Id="rId4" Type="http://schemas.microsoft.com/office/2007/relationships/hdphoto" Target="../media/hdphoto2.wdp"/></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 Id="rId4" Type="http://schemas.microsoft.com/office/2007/relationships/hdphoto" Target="../media/hdphoto2.wdp"/></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 Id="rId4" Type="http://schemas.microsoft.com/office/2007/relationships/hdphoto" Target="../media/hdphoto2.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1</xdr:colOff>
      <xdr:row>43</xdr:row>
      <xdr:rowOff>171450</xdr:rowOff>
    </xdr:from>
    <xdr:to>
      <xdr:col>4</xdr:col>
      <xdr:colOff>1</xdr:colOff>
      <xdr:row>45</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19052</xdr:colOff>
      <xdr:row>19</xdr:row>
      <xdr:rowOff>161925</xdr:rowOff>
    </xdr:to>
    <xdr:cxnSp macro="">
      <xdr:nvCxnSpPr>
        <xdr:cNvPr id="16" name="Straight Connector 15"/>
        <xdr:cNvCxnSpPr/>
      </xdr:nvCxnSpPr>
      <xdr:spPr>
        <a:xfrm flipH="1">
          <a:off x="0" y="0"/>
          <a:ext cx="19052" cy="37814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171449</xdr:colOff>
      <xdr:row>1</xdr:row>
      <xdr:rowOff>9525</xdr:rowOff>
    </xdr:from>
    <xdr:to>
      <xdr:col>5</xdr:col>
      <xdr:colOff>552450</xdr:colOff>
      <xdr:row>3</xdr:row>
      <xdr:rowOff>152400</xdr:rowOff>
    </xdr:to>
    <xdr:sp macro="" textlink="">
      <xdr:nvSpPr>
        <xdr:cNvPr id="41" name="Rounded Rectangle 40"/>
        <xdr:cNvSpPr/>
      </xdr:nvSpPr>
      <xdr:spPr>
        <a:xfrm>
          <a:off x="171449" y="200025"/>
          <a:ext cx="3429001" cy="523875"/>
        </a:xfrm>
        <a:prstGeom prst="roundRect">
          <a:avLst>
            <a:gd name="adj" fmla="val 2394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171450</xdr:colOff>
      <xdr:row>4</xdr:row>
      <xdr:rowOff>57149</xdr:rowOff>
    </xdr:from>
    <xdr:to>
      <xdr:col>1</xdr:col>
      <xdr:colOff>259773</xdr:colOff>
      <xdr:row>19</xdr:row>
      <xdr:rowOff>9524</xdr:rowOff>
    </xdr:to>
    <xdr:sp macro="" textlink="">
      <xdr:nvSpPr>
        <xdr:cNvPr id="43" name="Rounded Rectangle 42"/>
        <xdr:cNvSpPr/>
      </xdr:nvSpPr>
      <xdr:spPr>
        <a:xfrm>
          <a:off x="171450" y="819149"/>
          <a:ext cx="694459" cy="2809875"/>
        </a:xfrm>
        <a:prstGeom prst="roundRect">
          <a:avLst>
            <a:gd name="adj" fmla="val 1069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0</xdr:row>
      <xdr:rowOff>0</xdr:rowOff>
    </xdr:from>
    <xdr:to>
      <xdr:col>15</xdr:col>
      <xdr:colOff>9525</xdr:colOff>
      <xdr:row>0</xdr:row>
      <xdr:rowOff>17861</xdr:rowOff>
    </xdr:to>
    <xdr:cxnSp macro="">
      <xdr:nvCxnSpPr>
        <xdr:cNvPr id="45" name="Straight Connector 44"/>
        <xdr:cNvCxnSpPr/>
      </xdr:nvCxnSpPr>
      <xdr:spPr>
        <a:xfrm>
          <a:off x="1219200" y="0"/>
          <a:ext cx="9153525" cy="1786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361949</xdr:colOff>
      <xdr:row>8</xdr:row>
      <xdr:rowOff>123825</xdr:rowOff>
    </xdr:from>
    <xdr:to>
      <xdr:col>7</xdr:col>
      <xdr:colOff>600074</xdr:colOff>
      <xdr:row>11</xdr:row>
      <xdr:rowOff>76200</xdr:rowOff>
    </xdr:to>
    <xdr:sp macro="" textlink="">
      <xdr:nvSpPr>
        <xdr:cNvPr id="52" name="Rounded Rectangle 51"/>
        <xdr:cNvSpPr/>
      </xdr:nvSpPr>
      <xdr:spPr>
        <a:xfrm>
          <a:off x="971549" y="1647825"/>
          <a:ext cx="3895725" cy="523875"/>
        </a:xfrm>
        <a:prstGeom prst="roundRect">
          <a:avLst>
            <a:gd name="adj" fmla="val 9395"/>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333376</xdr:colOff>
      <xdr:row>11</xdr:row>
      <xdr:rowOff>152400</xdr:rowOff>
    </xdr:from>
    <xdr:to>
      <xdr:col>7</xdr:col>
      <xdr:colOff>571500</xdr:colOff>
      <xdr:row>19</xdr:row>
      <xdr:rowOff>0</xdr:rowOff>
    </xdr:to>
    <xdr:sp macro="" textlink="">
      <xdr:nvSpPr>
        <xdr:cNvPr id="53" name="Rounded Rectangle 52"/>
        <xdr:cNvSpPr/>
      </xdr:nvSpPr>
      <xdr:spPr>
        <a:xfrm>
          <a:off x="942976" y="2247900"/>
          <a:ext cx="3895724" cy="1371600"/>
        </a:xfrm>
        <a:prstGeom prst="roundRect">
          <a:avLst>
            <a:gd name="adj" fmla="val 861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66674</xdr:colOff>
      <xdr:row>0</xdr:row>
      <xdr:rowOff>180975</xdr:rowOff>
    </xdr:from>
    <xdr:to>
      <xdr:col>11</xdr:col>
      <xdr:colOff>3463</xdr:colOff>
      <xdr:row>8</xdr:row>
      <xdr:rowOff>38100</xdr:rowOff>
    </xdr:to>
    <xdr:sp macro="" textlink="">
      <xdr:nvSpPr>
        <xdr:cNvPr id="56" name="Rounded Rectangle 55"/>
        <xdr:cNvSpPr/>
      </xdr:nvSpPr>
      <xdr:spPr>
        <a:xfrm>
          <a:off x="4943474" y="180975"/>
          <a:ext cx="1762125" cy="1381125"/>
        </a:xfrm>
        <a:prstGeom prst="roundRect">
          <a:avLst>
            <a:gd name="adj" fmla="val 4926"/>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104775</xdr:colOff>
      <xdr:row>1</xdr:row>
      <xdr:rowOff>0</xdr:rowOff>
    </xdr:from>
    <xdr:to>
      <xdr:col>14</xdr:col>
      <xdr:colOff>19051</xdr:colOff>
      <xdr:row>8</xdr:row>
      <xdr:rowOff>47625</xdr:rowOff>
    </xdr:to>
    <xdr:sp macro="" textlink="">
      <xdr:nvSpPr>
        <xdr:cNvPr id="58" name="Rounded Rectangle 57"/>
        <xdr:cNvSpPr/>
      </xdr:nvSpPr>
      <xdr:spPr>
        <a:xfrm>
          <a:off x="6810375" y="190500"/>
          <a:ext cx="1743076" cy="1381125"/>
        </a:xfrm>
        <a:prstGeom prst="roundRect">
          <a:avLst>
            <a:gd name="adj" fmla="val 4926"/>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57150</xdr:colOff>
      <xdr:row>8</xdr:row>
      <xdr:rowOff>161925</xdr:rowOff>
    </xdr:from>
    <xdr:to>
      <xdr:col>14</xdr:col>
      <xdr:colOff>0</xdr:colOff>
      <xdr:row>19</xdr:row>
      <xdr:rowOff>28575</xdr:rowOff>
    </xdr:to>
    <xdr:sp macro="" textlink="">
      <xdr:nvSpPr>
        <xdr:cNvPr id="60" name="Rounded Rectangle 59"/>
        <xdr:cNvSpPr/>
      </xdr:nvSpPr>
      <xdr:spPr>
        <a:xfrm>
          <a:off x="4906241" y="1685925"/>
          <a:ext cx="3579668" cy="1962150"/>
        </a:xfrm>
        <a:prstGeom prst="roundRect">
          <a:avLst>
            <a:gd name="adj" fmla="val 4926"/>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161925</xdr:colOff>
      <xdr:row>1</xdr:row>
      <xdr:rowOff>57151</xdr:rowOff>
    </xdr:from>
    <xdr:to>
      <xdr:col>5</xdr:col>
      <xdr:colOff>523875</xdr:colOff>
      <xdr:row>2</xdr:row>
      <xdr:rowOff>104775</xdr:rowOff>
    </xdr:to>
    <xdr:sp macro="" textlink="">
      <xdr:nvSpPr>
        <xdr:cNvPr id="61" name="TextBox 60"/>
        <xdr:cNvSpPr txBox="1"/>
      </xdr:nvSpPr>
      <xdr:spPr>
        <a:xfrm>
          <a:off x="771525" y="247651"/>
          <a:ext cx="280035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1"/>
            <a:t>HOSPITAL EMERGENCY ROOM</a:t>
          </a:r>
          <a:r>
            <a:rPr lang="en-IN" sz="1000" b="1" i="1" baseline="0"/>
            <a:t> DASHBOARD</a:t>
          </a:r>
          <a:endParaRPr lang="en-IN" sz="1000" b="1" i="1"/>
        </a:p>
      </xdr:txBody>
    </xdr:sp>
    <xdr:clientData/>
  </xdr:twoCellAnchor>
  <xdr:twoCellAnchor>
    <xdr:from>
      <xdr:col>1</xdr:col>
      <xdr:colOff>438151</xdr:colOff>
      <xdr:row>2</xdr:row>
      <xdr:rowOff>57150</xdr:rowOff>
    </xdr:from>
    <xdr:to>
      <xdr:col>5</xdr:col>
      <xdr:colOff>419101</xdr:colOff>
      <xdr:row>3</xdr:row>
      <xdr:rowOff>104775</xdr:rowOff>
    </xdr:to>
    <xdr:sp macro="" textlink="">
      <xdr:nvSpPr>
        <xdr:cNvPr id="62" name="TextBox 61"/>
        <xdr:cNvSpPr txBox="1"/>
      </xdr:nvSpPr>
      <xdr:spPr>
        <a:xfrm>
          <a:off x="1047751" y="438150"/>
          <a:ext cx="2419350" cy="2381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1"/>
            <a:t>Monthly</a:t>
          </a:r>
          <a:r>
            <a:rPr lang="en-IN" sz="1200" b="1" i="1" baseline="0"/>
            <a:t> </a:t>
          </a:r>
          <a:r>
            <a:rPr lang="en-IN" sz="1000" b="1" i="1" baseline="0"/>
            <a:t>Report</a:t>
          </a:r>
        </a:p>
      </xdr:txBody>
    </xdr:sp>
    <xdr:clientData/>
  </xdr:twoCellAnchor>
  <xdr:twoCellAnchor editAs="oneCell">
    <xdr:from>
      <xdr:col>0</xdr:col>
      <xdr:colOff>228599</xdr:colOff>
      <xdr:row>0</xdr:row>
      <xdr:rowOff>152400</xdr:rowOff>
    </xdr:from>
    <xdr:to>
      <xdr:col>1</xdr:col>
      <xdr:colOff>428625</xdr:colOff>
      <xdr:row>4</xdr:row>
      <xdr:rowOff>0</xdr:rowOff>
    </xdr:to>
    <xdr:pic>
      <xdr:nvPicPr>
        <xdr:cNvPr id="64" name="Picture 6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616" r="14981" b="1538"/>
        <a:stretch/>
      </xdr:blipFill>
      <xdr:spPr>
        <a:xfrm>
          <a:off x="228599" y="152400"/>
          <a:ext cx="809626" cy="609600"/>
        </a:xfrm>
        <a:prstGeom prst="rect">
          <a:avLst/>
        </a:prstGeom>
      </xdr:spPr>
    </xdr:pic>
    <xdr:clientData/>
  </xdr:twoCellAnchor>
  <xdr:twoCellAnchor>
    <xdr:from>
      <xdr:col>1</xdr:col>
      <xdr:colOff>381000</xdr:colOff>
      <xdr:row>5</xdr:row>
      <xdr:rowOff>133350</xdr:rowOff>
    </xdr:from>
    <xdr:to>
      <xdr:col>3</xdr:col>
      <xdr:colOff>238125</xdr:colOff>
      <xdr:row>6</xdr:row>
      <xdr:rowOff>180975</xdr:rowOff>
    </xdr:to>
    <xdr:sp macro="" textlink="">
      <xdr:nvSpPr>
        <xdr:cNvPr id="65" name="TextBox 64"/>
        <xdr:cNvSpPr txBox="1"/>
      </xdr:nvSpPr>
      <xdr:spPr>
        <a:xfrm>
          <a:off x="990600" y="1085850"/>
          <a:ext cx="1076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1" baseline="0"/>
            <a:t>No. of Patients</a:t>
          </a:r>
          <a:endParaRPr lang="en-IN" sz="1100" b="0" i="1"/>
        </a:p>
      </xdr:txBody>
    </xdr:sp>
    <xdr:clientData/>
  </xdr:twoCellAnchor>
  <xdr:twoCellAnchor>
    <xdr:from>
      <xdr:col>1</xdr:col>
      <xdr:colOff>381000</xdr:colOff>
      <xdr:row>4</xdr:row>
      <xdr:rowOff>174038</xdr:rowOff>
    </xdr:from>
    <xdr:to>
      <xdr:col>3</xdr:col>
      <xdr:colOff>238125</xdr:colOff>
      <xdr:row>5</xdr:row>
      <xdr:rowOff>178387</xdr:rowOff>
    </xdr:to>
    <xdr:sp macro="" textlink="PIVOT_TABLE!A6">
      <xdr:nvSpPr>
        <xdr:cNvPr id="66" name="TextBox 65"/>
        <xdr:cNvSpPr txBox="1"/>
      </xdr:nvSpPr>
      <xdr:spPr>
        <a:xfrm>
          <a:off x="990600" y="936038"/>
          <a:ext cx="1076325" cy="19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809675-C658-4C11-95D0-0D32C921E820}" type="TxLink">
            <a:rPr lang="en-US" sz="1600" b="1" i="0" u="none" strike="noStrike">
              <a:solidFill>
                <a:srgbClr val="000000"/>
              </a:solidFill>
              <a:latin typeface="Calibri"/>
              <a:cs typeface="Calibri"/>
            </a:rPr>
            <a:pPr algn="ctr"/>
            <a:t>464</a:t>
          </a:fld>
          <a:endParaRPr lang="en-IN" sz="2000" b="1" i="1"/>
        </a:p>
      </xdr:txBody>
    </xdr:sp>
    <xdr:clientData/>
  </xdr:twoCellAnchor>
  <xdr:twoCellAnchor>
    <xdr:from>
      <xdr:col>1</xdr:col>
      <xdr:colOff>361949</xdr:colOff>
      <xdr:row>4</xdr:row>
      <xdr:rowOff>76200</xdr:rowOff>
    </xdr:from>
    <xdr:to>
      <xdr:col>7</xdr:col>
      <xdr:colOff>600075</xdr:colOff>
      <xdr:row>8</xdr:row>
      <xdr:rowOff>47626</xdr:rowOff>
    </xdr:to>
    <xdr:grpSp>
      <xdr:nvGrpSpPr>
        <xdr:cNvPr id="2" name="Group 1"/>
        <xdr:cNvGrpSpPr/>
      </xdr:nvGrpSpPr>
      <xdr:grpSpPr>
        <a:xfrm>
          <a:off x="972354" y="827468"/>
          <a:ext cx="3900556" cy="722693"/>
          <a:chOff x="971549" y="838200"/>
          <a:chExt cx="3305176" cy="733426"/>
        </a:xfrm>
        <a:solidFill>
          <a:schemeClr val="accent4">
            <a:lumMod val="20000"/>
            <a:lumOff val="80000"/>
          </a:schemeClr>
        </a:solidFill>
      </xdr:grpSpPr>
      <xdr:sp macro="" textlink="">
        <xdr:nvSpPr>
          <xdr:cNvPr id="47" name="Rounded Rectangle 46"/>
          <xdr:cNvSpPr/>
        </xdr:nvSpPr>
        <xdr:spPr>
          <a:xfrm>
            <a:off x="971549" y="838200"/>
            <a:ext cx="1076325" cy="733425"/>
          </a:xfrm>
          <a:prstGeom prst="roundRect">
            <a:avLst>
              <a:gd name="adj" fmla="val 4947"/>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ounded Rectangle 38"/>
          <xdr:cNvSpPr/>
        </xdr:nvSpPr>
        <xdr:spPr>
          <a:xfrm>
            <a:off x="2076450" y="847725"/>
            <a:ext cx="996190" cy="723901"/>
          </a:xfrm>
          <a:prstGeom prst="roundRect">
            <a:avLst>
              <a:gd name="adj" fmla="val 3545"/>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ounded Rectangle 49"/>
          <xdr:cNvSpPr/>
        </xdr:nvSpPr>
        <xdr:spPr>
          <a:xfrm>
            <a:off x="3096883" y="847726"/>
            <a:ext cx="1179842" cy="704849"/>
          </a:xfrm>
          <a:prstGeom prst="roundRect">
            <a:avLst>
              <a:gd name="adj" fmla="val 7386"/>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514350</xdr:colOff>
      <xdr:row>6</xdr:row>
      <xdr:rowOff>0</xdr:rowOff>
    </xdr:from>
    <xdr:to>
      <xdr:col>3</xdr:col>
      <xdr:colOff>333375</xdr:colOff>
      <xdr:row>7</xdr:row>
      <xdr:rowOff>9525</xdr:rowOff>
    </xdr:to>
    <xdr:sp macro="" textlink="">
      <xdr:nvSpPr>
        <xdr:cNvPr id="68" name="TextBox 67"/>
        <xdr:cNvSpPr txBox="1"/>
      </xdr:nvSpPr>
      <xdr:spPr>
        <a:xfrm>
          <a:off x="1123950" y="1143000"/>
          <a:ext cx="1038225" cy="2000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1" baseline="0"/>
            <a:t>NO. OF PATIENTS</a:t>
          </a:r>
        </a:p>
      </xdr:txBody>
    </xdr:sp>
    <xdr:clientData/>
  </xdr:twoCellAnchor>
  <xdr:twoCellAnchor>
    <xdr:from>
      <xdr:col>1</xdr:col>
      <xdr:colOff>504825</xdr:colOff>
      <xdr:row>4</xdr:row>
      <xdr:rowOff>142875</xdr:rowOff>
    </xdr:from>
    <xdr:to>
      <xdr:col>3</xdr:col>
      <xdr:colOff>323850</xdr:colOff>
      <xdr:row>5</xdr:row>
      <xdr:rowOff>152400</xdr:rowOff>
    </xdr:to>
    <xdr:sp macro="" textlink="PIVOT_TABLE!A6">
      <xdr:nvSpPr>
        <xdr:cNvPr id="69" name="TextBox 68"/>
        <xdr:cNvSpPr txBox="1"/>
      </xdr:nvSpPr>
      <xdr:spPr>
        <a:xfrm>
          <a:off x="1114425" y="904875"/>
          <a:ext cx="1038225" cy="2000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9F5FE2-9E75-4634-A3F5-EF84914B3127}" type="TxLink">
            <a:rPr lang="en-US" sz="1600" b="1" i="0" u="none" strike="noStrike" baseline="0">
              <a:solidFill>
                <a:srgbClr val="000000"/>
              </a:solidFill>
              <a:latin typeface="Calibri"/>
              <a:cs typeface="Calibri"/>
            </a:rPr>
            <a:pPr algn="ctr"/>
            <a:t>464</a:t>
          </a:fld>
          <a:endParaRPr lang="en-IN" sz="1600" b="1" i="1" baseline="0"/>
        </a:p>
      </xdr:txBody>
    </xdr:sp>
    <xdr:clientData/>
  </xdr:twoCellAnchor>
  <xdr:twoCellAnchor>
    <xdr:from>
      <xdr:col>3</xdr:col>
      <xdr:colOff>514349</xdr:colOff>
      <xdr:row>6</xdr:row>
      <xdr:rowOff>9526</xdr:rowOff>
    </xdr:from>
    <xdr:to>
      <xdr:col>5</xdr:col>
      <xdr:colOff>361950</xdr:colOff>
      <xdr:row>7</xdr:row>
      <xdr:rowOff>0</xdr:rowOff>
    </xdr:to>
    <xdr:sp macro="" textlink="">
      <xdr:nvSpPr>
        <xdr:cNvPr id="71" name="TextBox 70"/>
        <xdr:cNvSpPr txBox="1"/>
      </xdr:nvSpPr>
      <xdr:spPr>
        <a:xfrm>
          <a:off x="2343149" y="1152526"/>
          <a:ext cx="1066801" cy="18097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1" baseline="0"/>
            <a:t>AVG. WAIT TIME</a:t>
          </a:r>
        </a:p>
      </xdr:txBody>
    </xdr:sp>
    <xdr:clientData/>
  </xdr:twoCellAnchor>
  <xdr:twoCellAnchor>
    <xdr:from>
      <xdr:col>3</xdr:col>
      <xdr:colOff>495300</xdr:colOff>
      <xdr:row>5</xdr:row>
      <xdr:rowOff>1</xdr:rowOff>
    </xdr:from>
    <xdr:to>
      <xdr:col>5</xdr:col>
      <xdr:colOff>238125</xdr:colOff>
      <xdr:row>5</xdr:row>
      <xdr:rowOff>133351</xdr:rowOff>
    </xdr:to>
    <xdr:sp macro="" textlink="PIVOT_TABLE!A10">
      <xdr:nvSpPr>
        <xdr:cNvPr id="72" name="TextBox 71"/>
        <xdr:cNvSpPr txBox="1"/>
      </xdr:nvSpPr>
      <xdr:spPr>
        <a:xfrm>
          <a:off x="2324100" y="952501"/>
          <a:ext cx="962025" cy="13335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A3201F-E3DF-483C-9521-395491EEA13C}" type="TxLink">
            <a:rPr lang="en-US" sz="1600" b="1" i="1" u="none" strike="noStrike" baseline="0">
              <a:solidFill>
                <a:srgbClr val="000000"/>
              </a:solidFill>
              <a:latin typeface="Calibri"/>
              <a:cs typeface="Calibri"/>
            </a:rPr>
            <a:pPr algn="ctr"/>
            <a:t>34.72</a:t>
          </a:fld>
          <a:endParaRPr lang="en-IN" sz="1600" b="1" i="1" baseline="0"/>
        </a:p>
      </xdr:txBody>
    </xdr:sp>
    <xdr:clientData/>
  </xdr:twoCellAnchor>
  <xdr:twoCellAnchor>
    <xdr:from>
      <xdr:col>5</xdr:col>
      <xdr:colOff>457200</xdr:colOff>
      <xdr:row>5</xdr:row>
      <xdr:rowOff>161927</xdr:rowOff>
    </xdr:from>
    <xdr:to>
      <xdr:col>7</xdr:col>
      <xdr:colOff>590550</xdr:colOff>
      <xdr:row>7</xdr:row>
      <xdr:rowOff>1</xdr:rowOff>
    </xdr:to>
    <xdr:sp macro="" textlink="">
      <xdr:nvSpPr>
        <xdr:cNvPr id="73" name="TextBox 72"/>
        <xdr:cNvSpPr txBox="1"/>
      </xdr:nvSpPr>
      <xdr:spPr>
        <a:xfrm>
          <a:off x="3505200" y="1114427"/>
          <a:ext cx="1352550" cy="21907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baseline="0"/>
            <a:t> </a:t>
          </a:r>
          <a:r>
            <a:rPr lang="en-IN" sz="900" b="1" i="1" baseline="0"/>
            <a:t>SATISFACTION SCORE</a:t>
          </a:r>
          <a:endParaRPr lang="en-IN" sz="800" b="1" i="1" baseline="0"/>
        </a:p>
      </xdr:txBody>
    </xdr:sp>
    <xdr:clientData/>
  </xdr:twoCellAnchor>
  <xdr:twoCellAnchor>
    <xdr:from>
      <xdr:col>6</xdr:col>
      <xdr:colOff>0</xdr:colOff>
      <xdr:row>4</xdr:row>
      <xdr:rowOff>152400</xdr:rowOff>
    </xdr:from>
    <xdr:to>
      <xdr:col>7</xdr:col>
      <xdr:colOff>428625</xdr:colOff>
      <xdr:row>5</xdr:row>
      <xdr:rowOff>161925</xdr:rowOff>
    </xdr:to>
    <xdr:sp macro="" textlink="PIVOT_TABLE!A14">
      <xdr:nvSpPr>
        <xdr:cNvPr id="74" name="TextBox 73"/>
        <xdr:cNvSpPr txBox="1"/>
      </xdr:nvSpPr>
      <xdr:spPr>
        <a:xfrm>
          <a:off x="3657600" y="914400"/>
          <a:ext cx="1038225" cy="20002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68C744-F3C1-42DE-A0A3-9B5383B79EAB}" type="TxLink">
            <a:rPr lang="en-US" sz="1600" b="1" i="1" u="none" strike="noStrike" baseline="0">
              <a:solidFill>
                <a:srgbClr val="000000"/>
              </a:solidFill>
              <a:latin typeface="Calibri"/>
              <a:cs typeface="Calibri"/>
            </a:rPr>
            <a:pPr algn="ctr"/>
            <a:t>4.99</a:t>
          </a:fld>
          <a:endParaRPr lang="en-IN" sz="1600" b="1" i="1" baseline="0"/>
        </a:p>
      </xdr:txBody>
    </xdr:sp>
    <xdr:clientData/>
  </xdr:twoCellAnchor>
  <xdr:twoCellAnchor editAs="oneCell">
    <xdr:from>
      <xdr:col>0</xdr:col>
      <xdr:colOff>190501</xdr:colOff>
      <xdr:row>4</xdr:row>
      <xdr:rowOff>123825</xdr:rowOff>
    </xdr:from>
    <xdr:to>
      <xdr:col>1</xdr:col>
      <xdr:colOff>233796</xdr:colOff>
      <xdr:row>18</xdr:row>
      <xdr:rowOff>142874</xdr:rowOff>
    </xdr:to>
    <mc:AlternateContent xmlns:mc="http://schemas.openxmlformats.org/markup-compatibility/2006">
      <mc:Choice xmlns:a14="http://schemas.microsoft.com/office/drawing/2010/main" Requires="a14">
        <xdr:graphicFrame macro="">
          <xdr:nvGraphicFramePr>
            <xdr:cNvPr id="78"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90501" y="875093"/>
              <a:ext cx="653700" cy="264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371475</xdr:colOff>
      <xdr:row>12</xdr:row>
      <xdr:rowOff>9525</xdr:rowOff>
    </xdr:from>
    <xdr:to>
      <xdr:col>7</xdr:col>
      <xdr:colOff>542925</xdr:colOff>
      <xdr:row>17</xdr:row>
      <xdr:rowOff>114300</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372341</xdr:colOff>
          <xdr:row>8</xdr:row>
          <xdr:rowOff>161925</xdr:rowOff>
        </xdr:from>
        <xdr:to>
          <xdr:col>7</xdr:col>
          <xdr:colOff>580159</xdr:colOff>
          <xdr:row>11</xdr:row>
          <xdr:rowOff>19050</xdr:rowOff>
        </xdr:to>
        <xdr:pic>
          <xdr:nvPicPr>
            <xdr:cNvPr id="90" name="Picture 89"/>
            <xdr:cNvPicPr>
              <a:picLocks noChangeAspect="1" noChangeArrowheads="1"/>
              <a:extLst>
                <a:ext uri="{84589F7E-364E-4C9E-8A38-B11213B215E9}">
                  <a14:cameraTool cellRange="PIVOT_TABLE!$A$44:$D$46" spid="_x0000_s1041"/>
                </a:ext>
              </a:extLst>
            </xdr:cNvPicPr>
          </xdr:nvPicPr>
          <xdr:blipFill>
            <a:blip xmlns:r="http://schemas.openxmlformats.org/officeDocument/2006/relationships" r:embed="rId3"/>
            <a:srcRect/>
            <a:stretch>
              <a:fillRect/>
            </a:stretch>
          </xdr:blipFill>
          <xdr:spPr bwMode="auto">
            <a:xfrm>
              <a:off x="978477" y="1685925"/>
              <a:ext cx="3844637" cy="428625"/>
            </a:xfrm>
            <a:prstGeom prst="rect">
              <a:avLst/>
            </a:prstGeom>
            <a:solidFill>
              <a:schemeClr val="accent2">
                <a:lumMod val="20000"/>
                <a:lumOff val="80000"/>
              </a:schemeClr>
            </a:solidFill>
            <a:extLst/>
          </xdr:spPr>
        </xdr:pic>
        <xdr:clientData/>
      </xdr:twoCellAnchor>
    </mc:Choice>
    <mc:Fallback/>
  </mc:AlternateContent>
  <xdr:twoCellAnchor>
    <xdr:from>
      <xdr:col>2</xdr:col>
      <xdr:colOff>66675</xdr:colOff>
      <xdr:row>17</xdr:row>
      <xdr:rowOff>66676</xdr:rowOff>
    </xdr:from>
    <xdr:to>
      <xdr:col>7</xdr:col>
      <xdr:colOff>152400</xdr:colOff>
      <xdr:row>18</xdr:row>
      <xdr:rowOff>104776</xdr:rowOff>
    </xdr:to>
    <xdr:sp macro="" textlink="">
      <xdr:nvSpPr>
        <xdr:cNvPr id="91" name="TextBox 90"/>
        <xdr:cNvSpPr txBox="1"/>
      </xdr:nvSpPr>
      <xdr:spPr>
        <a:xfrm>
          <a:off x="1285875" y="3305176"/>
          <a:ext cx="3133725" cy="22860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baseline="0"/>
            <a:t>NO. OF PATIENTS BY AGE GROUP</a:t>
          </a:r>
        </a:p>
      </xdr:txBody>
    </xdr:sp>
    <xdr:clientData/>
  </xdr:twoCellAnchor>
  <xdr:twoCellAnchor>
    <xdr:from>
      <xdr:col>8</xdr:col>
      <xdr:colOff>123826</xdr:colOff>
      <xdr:row>6</xdr:row>
      <xdr:rowOff>171450</xdr:rowOff>
    </xdr:from>
    <xdr:to>
      <xdr:col>10</xdr:col>
      <xdr:colOff>581025</xdr:colOff>
      <xdr:row>8</xdr:row>
      <xdr:rowOff>9525</xdr:rowOff>
    </xdr:to>
    <xdr:sp macro="" textlink="">
      <xdr:nvSpPr>
        <xdr:cNvPr id="93" name="TextBox 92"/>
        <xdr:cNvSpPr txBox="1"/>
      </xdr:nvSpPr>
      <xdr:spPr>
        <a:xfrm>
          <a:off x="5000626" y="1314450"/>
          <a:ext cx="1676399" cy="2190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baseline="0"/>
            <a:t>PATIENTS ATTENDED WITHIN TIME</a:t>
          </a:r>
        </a:p>
      </xdr:txBody>
    </xdr:sp>
    <xdr:clientData/>
  </xdr:twoCellAnchor>
  <xdr:twoCellAnchor>
    <xdr:from>
      <xdr:col>8</xdr:col>
      <xdr:colOff>57150</xdr:colOff>
      <xdr:row>0</xdr:row>
      <xdr:rowOff>171450</xdr:rowOff>
    </xdr:from>
    <xdr:to>
      <xdr:col>10</xdr:col>
      <xdr:colOff>600075</xdr:colOff>
      <xdr:row>7</xdr:row>
      <xdr:rowOff>8659</xdr:rowOff>
    </xdr:to>
    <xdr:graphicFrame macro="">
      <xdr:nvGraphicFramePr>
        <xdr:cNvPr id="94" name="Chart 9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152400</xdr:colOff>
      <xdr:row>1</xdr:row>
      <xdr:rowOff>9525</xdr:rowOff>
    </xdr:from>
    <xdr:to>
      <xdr:col>13</xdr:col>
      <xdr:colOff>590550</xdr:colOff>
      <xdr:row>7</xdr:row>
      <xdr:rowOff>8659</xdr:rowOff>
    </xdr:to>
    <xdr:graphicFrame macro="">
      <xdr:nvGraphicFramePr>
        <xdr:cNvPr id="95" name="Chart 9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104776</xdr:colOff>
      <xdr:row>6</xdr:row>
      <xdr:rowOff>161925</xdr:rowOff>
    </xdr:from>
    <xdr:to>
      <xdr:col>13</xdr:col>
      <xdr:colOff>561975</xdr:colOff>
      <xdr:row>8</xdr:row>
      <xdr:rowOff>0</xdr:rowOff>
    </xdr:to>
    <xdr:sp macro="" textlink="">
      <xdr:nvSpPr>
        <xdr:cNvPr id="96" name="TextBox 95"/>
        <xdr:cNvSpPr txBox="1"/>
      </xdr:nvSpPr>
      <xdr:spPr>
        <a:xfrm>
          <a:off x="6810376" y="1304925"/>
          <a:ext cx="1676399" cy="2190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baseline="0"/>
            <a:t>NO. OF PATIENTS BY GENDER</a:t>
          </a:r>
        </a:p>
      </xdr:txBody>
    </xdr:sp>
    <xdr:clientData/>
  </xdr:twoCellAnchor>
  <xdr:twoCellAnchor>
    <xdr:from>
      <xdr:col>8</xdr:col>
      <xdr:colOff>123824</xdr:colOff>
      <xdr:row>9</xdr:row>
      <xdr:rowOff>66675</xdr:rowOff>
    </xdr:from>
    <xdr:to>
      <xdr:col>13</xdr:col>
      <xdr:colOff>552449</xdr:colOff>
      <xdr:row>17</xdr:row>
      <xdr:rowOff>152400</xdr:rowOff>
    </xdr:to>
    <xdr:graphicFrame macro="">
      <xdr:nvGraphicFramePr>
        <xdr:cNvPr id="97" name="Chart 9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381001</xdr:colOff>
      <xdr:row>17</xdr:row>
      <xdr:rowOff>47626</xdr:rowOff>
    </xdr:from>
    <xdr:to>
      <xdr:col>13</xdr:col>
      <xdr:colOff>409575</xdr:colOff>
      <xdr:row>18</xdr:row>
      <xdr:rowOff>171450</xdr:rowOff>
    </xdr:to>
    <xdr:sp macro="" textlink="">
      <xdr:nvSpPr>
        <xdr:cNvPr id="98" name="TextBox 97"/>
        <xdr:cNvSpPr txBox="1"/>
      </xdr:nvSpPr>
      <xdr:spPr>
        <a:xfrm>
          <a:off x="5257801" y="3286126"/>
          <a:ext cx="3076574" cy="314324"/>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1" baseline="0"/>
            <a:t>NO. OF PATIENTS BY DEPARTMENT REFERRAL</a:t>
          </a:r>
        </a:p>
      </xdr:txBody>
    </xdr:sp>
    <xdr:clientData/>
  </xdr:twoCellAnchor>
  <xdr:twoCellAnchor editAs="absolute">
    <xdr:from>
      <xdr:col>6</xdr:col>
      <xdr:colOff>9526</xdr:colOff>
      <xdr:row>1</xdr:row>
      <xdr:rowOff>0</xdr:rowOff>
    </xdr:from>
    <xdr:to>
      <xdr:col>7</xdr:col>
      <xdr:colOff>581026</xdr:colOff>
      <xdr:row>3</xdr:row>
      <xdr:rowOff>123825</xdr:rowOff>
    </xdr:to>
    <xdr:sp macro="" textlink="">
      <xdr:nvSpPr>
        <xdr:cNvPr id="100" name="Rounded Rectangle 99"/>
        <xdr:cNvSpPr/>
      </xdr:nvSpPr>
      <xdr:spPr>
        <a:xfrm>
          <a:off x="3646344" y="190500"/>
          <a:ext cx="1177637" cy="504825"/>
        </a:xfrm>
        <a:prstGeom prst="roundRect">
          <a:avLst>
            <a:gd name="adj" fmla="val 15732"/>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6</xdr:col>
      <xdr:colOff>17319</xdr:colOff>
      <xdr:row>1</xdr:row>
      <xdr:rowOff>0</xdr:rowOff>
    </xdr:from>
    <xdr:to>
      <xdr:col>7</xdr:col>
      <xdr:colOff>562840</xdr:colOff>
      <xdr:row>3</xdr:row>
      <xdr:rowOff>8659</xdr:rowOff>
    </xdr:to>
    <mc:AlternateContent xmlns:mc="http://schemas.openxmlformats.org/markup-compatibility/2006">
      <mc:Choice xmlns:a14="http://schemas.microsoft.com/office/drawing/2010/main" Requires="a14">
        <xdr:graphicFrame macro="">
          <xdr:nvGraphicFramePr>
            <xdr:cNvPr id="101"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679749" y="187817"/>
              <a:ext cx="1155926" cy="384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604809</xdr:colOff>
      <xdr:row>4</xdr:row>
      <xdr:rowOff>95249</xdr:rowOff>
    </xdr:from>
    <xdr:to>
      <xdr:col>3</xdr:col>
      <xdr:colOff>312999</xdr:colOff>
      <xdr:row>6</xdr:row>
      <xdr:rowOff>28575</xdr:rowOff>
    </xdr:to>
    <xdr:pic>
      <xdr:nvPicPr>
        <xdr:cNvPr id="3" name="Picture 2">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817082" y="857249"/>
          <a:ext cx="314326" cy="314326"/>
        </a:xfrm>
        <a:prstGeom prst="rect">
          <a:avLst/>
        </a:prstGeom>
      </xdr:spPr>
    </xdr:pic>
    <xdr:clientData/>
  </xdr:twoCellAnchor>
  <xdr:twoCellAnchor editAs="oneCell">
    <xdr:from>
      <xdr:col>5</xdr:col>
      <xdr:colOff>95250</xdr:colOff>
      <xdr:row>4</xdr:row>
      <xdr:rowOff>123825</xdr:rowOff>
    </xdr:from>
    <xdr:to>
      <xdr:col>5</xdr:col>
      <xdr:colOff>314325</xdr:colOff>
      <xdr:row>5</xdr:row>
      <xdr:rowOff>152400</xdr:rowOff>
    </xdr:to>
    <xdr:pic>
      <xdr:nvPicPr>
        <xdr:cNvPr id="6" name="Picture 5" descr="Backward time &lt;strong&gt;icon&lt;/strong&gt;, SVG and PNG | Game-icons.net">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43250" y="885825"/>
          <a:ext cx="219075" cy="219075"/>
        </a:xfrm>
        <a:prstGeom prst="rect">
          <a:avLst/>
        </a:prstGeom>
      </xdr:spPr>
    </xdr:pic>
    <xdr:clientData/>
  </xdr:twoCellAnchor>
  <xdr:twoCellAnchor editAs="oneCell">
    <xdr:from>
      <xdr:col>7</xdr:col>
      <xdr:colOff>238126</xdr:colOff>
      <xdr:row>4</xdr:row>
      <xdr:rowOff>123826</xdr:rowOff>
    </xdr:from>
    <xdr:to>
      <xdr:col>7</xdr:col>
      <xdr:colOff>485776</xdr:colOff>
      <xdr:row>5</xdr:row>
      <xdr:rowOff>180976</xdr:rowOff>
    </xdr:to>
    <xdr:pic>
      <xdr:nvPicPr>
        <xdr:cNvPr id="7" name="Picture 6" descr="SVG &gt; &lt;strong&gt;star&lt;/strong&gt; media communication www - Free SVG Image &amp; &lt;strong&gt;Icon&lt;/strong&gt;. | SVG Silh">
          <a:hlinkClick xmlns:r="http://schemas.openxmlformats.org/officeDocument/2006/relationships" r:id="rId12"/>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05326" y="885826"/>
          <a:ext cx="247650" cy="247650"/>
        </a:xfrm>
        <a:prstGeom prst="rect">
          <a:avLst/>
        </a:prstGeom>
      </xdr:spPr>
    </xdr:pic>
    <xdr:clientData/>
  </xdr:twoCellAnchor>
  <xdr:twoCellAnchor>
    <xdr:from>
      <xdr:col>1</xdr:col>
      <xdr:colOff>342900</xdr:colOff>
      <xdr:row>6</xdr:row>
      <xdr:rowOff>25977</xdr:rowOff>
    </xdr:from>
    <xdr:to>
      <xdr:col>3</xdr:col>
      <xdr:colOff>447675</xdr:colOff>
      <xdr:row>8</xdr:row>
      <xdr:rowOff>38099</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438150</xdr:colOff>
      <xdr:row>6</xdr:row>
      <xdr:rowOff>155863</xdr:rowOff>
    </xdr:from>
    <xdr:to>
      <xdr:col>5</xdr:col>
      <xdr:colOff>409575</xdr:colOff>
      <xdr:row>8</xdr:row>
      <xdr:rowOff>38098</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438149</xdr:colOff>
      <xdr:row>6</xdr:row>
      <xdr:rowOff>95250</xdr:rowOff>
    </xdr:from>
    <xdr:to>
      <xdr:col>7</xdr:col>
      <xdr:colOff>600074</xdr:colOff>
      <xdr:row>8</xdr:row>
      <xdr:rowOff>9524</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3</xdr:row>
      <xdr:rowOff>9525</xdr:rowOff>
    </xdr:from>
    <xdr:to>
      <xdr:col>12</xdr:col>
      <xdr:colOff>504825</xdr:colOff>
      <xdr:row>16</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1</xdr:row>
      <xdr:rowOff>104774</xdr:rowOff>
    </xdr:from>
    <xdr:to>
      <xdr:col>1</xdr:col>
      <xdr:colOff>333375</xdr:colOff>
      <xdr:row>4</xdr:row>
      <xdr:rowOff>133349</xdr:rowOff>
    </xdr:to>
    <xdr:pic>
      <xdr:nvPicPr>
        <xdr:cNvPr id="3" name="Picture 2" descr="Vector Illustration of &lt;strong&gt;Home Icon&lt;/strong&gt; in Orange | Freestock &lt;strong&gt;icons&lt;/strong&gt;">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artisticGlowEdges/>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342900" y="295274"/>
          <a:ext cx="600075"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4</xdr:row>
      <xdr:rowOff>0</xdr:rowOff>
    </xdr:from>
    <xdr:to>
      <xdr:col>11</xdr:col>
      <xdr:colOff>400050</xdr:colOff>
      <xdr:row>16</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285750</xdr:colOff>
      <xdr:row>1</xdr:row>
      <xdr:rowOff>19050</xdr:rowOff>
    </xdr:from>
    <xdr:to>
      <xdr:col>1</xdr:col>
      <xdr:colOff>276225</xdr:colOff>
      <xdr:row>4</xdr:row>
      <xdr:rowOff>47625</xdr:rowOff>
    </xdr:to>
    <xdr:pic>
      <xdr:nvPicPr>
        <xdr:cNvPr id="3" name="Picture 2" descr="Vector Illustration of &lt;strong&gt;Home Icon&lt;/strong&gt; in Orange | Freestock &lt;strong&gt;icons&lt;/strong&gt;">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artisticGlowEdges/>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85750" y="209550"/>
          <a:ext cx="600075" cy="600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3</xdr:row>
      <xdr:rowOff>152401</xdr:rowOff>
    </xdr:from>
    <xdr:to>
      <xdr:col>12</xdr:col>
      <xdr:colOff>400050</xdr:colOff>
      <xdr:row>15</xdr:row>
      <xdr:rowOff>171451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285750</xdr:colOff>
      <xdr:row>1</xdr:row>
      <xdr:rowOff>123825</xdr:rowOff>
    </xdr:from>
    <xdr:to>
      <xdr:col>1</xdr:col>
      <xdr:colOff>200025</xdr:colOff>
      <xdr:row>4</xdr:row>
      <xdr:rowOff>28575</xdr:rowOff>
    </xdr:to>
    <xdr:pic>
      <xdr:nvPicPr>
        <xdr:cNvPr id="3" name="Picture 2" descr="Vector Illustration of &lt;strong&gt;Home Icon&lt;/strong&gt; in Orange | Freestock &lt;strong&gt;icons&lt;/strong&gt;">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artisticGlowEdges/>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85750" y="314325"/>
          <a:ext cx="523875" cy="476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199.927699768516" createdVersion="5" refreshedVersion="6" minRefreshableVersion="3" recordCount="0" supportSubquery="1" supportAdvancedDrill="1">
  <cacheSource type="external" connectionId="3"/>
  <cacheFields count="5">
    <cacheField name="[Measures].[Distinct Count of Patient Id]" caption="Distinct Count of Patient Id" numFmtId="0" hierarchy="25" level="32767"/>
    <cacheField name="[calendar].[Date].[Date]" caption="Date" numFmtId="0" level="1">
      <sharedItems containsSemiMixedTypes="0" containsNonDate="0" containsDate="1" containsString="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ar].[Date (Day)].[Date (Day)]" caption="Date (Day)" numFmtId="0" hierarchy="1"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2" level="1">
      <sharedItems count="1">
        <s v="Jul"/>
      </sharedItems>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Day)]" caption="Date (Day)" attribute="1" defaultMemberUniqueName="[calendar].[Date (Day)].[All]" allUniqueName="[calendar].[Date (Day)].[All]" dimensionUniqueName="[calendar]" displayFolder="" count="2" memberValueDatatype="130" unbalanced="0">
      <fieldsUsage count="2">
        <fieldUsage x="-1"/>
        <fieldUsage x="2"/>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199.927700115739" createdVersion="5" refreshedVersion="6" minRefreshableVersion="3" recordCount="0" supportSubquery="1" supportAdvancedDrill="1">
  <cacheSource type="external" connectionId="3"/>
  <cacheFields count="3">
    <cacheField name="[Measures].[Distinct Count of Patient Id]" caption="Distinct Count of Patient Id" numFmtId="0" hierarchy="25" level="32767"/>
    <cacheField name="[calendar].[Date (Month)].[Date (Month)]" caption="Date (Month)" numFmtId="0" hierarchy="2" level="1">
      <sharedItems containsSemiMixedTypes="0" containsNonDate="0" containsString="0"/>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199.927701504632" createdVersion="5" refreshedVersion="6" minRefreshableVersion="3" recordCount="0" supportSubquery="1" supportAdvancedDrill="1">
  <cacheSource type="external" connectionId="3"/>
  <cacheFields count="3">
    <cacheField name="[Measures].[Average of Patient Waittime]" caption="Average of Patient Waittime" numFmtId="0" hierarchy="27" level="32767"/>
    <cacheField name="[calendar].[Date (Month)].[Date (Month)]" caption="Date (Month)" numFmtId="0" hierarchy="2" level="1">
      <sharedItems containsSemiMixedTypes="0" containsNonDate="0" containsString="0"/>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199.927702430556" createdVersion="5" refreshedVersion="6" minRefreshableVersion="3" recordCount="0" supportSubquery="1" supportAdvancedDrill="1">
  <cacheSource type="external" connectionId="3"/>
  <cacheFields count="3">
    <cacheField name="[Measures].[Average of Patient Satisfaction Score]" caption="Average of Patient Satisfaction Score" numFmtId="0" hierarchy="29" level="32767"/>
    <cacheField name="[calendar].[Date (Month)].[Date (Month)]" caption="Date (Month)" numFmtId="0" hierarchy="2" level="1">
      <sharedItems containsSemiMixedTypes="0" containsNonDate="0" containsString="0"/>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199.927704282411" createdVersion="5" refreshedVersion="6" minRefreshableVersion="3" recordCount="0" supportSubquery="1" supportAdvancedDrill="1">
  <cacheSource type="external" connectionId="3"/>
  <cacheFields count="5">
    <cacheField name="[calendar].[Date (Month)].[Date (Month)]" caption="Date (Month)" numFmtId="0" hierarchy="2" level="1">
      <sharedItems containsSemiMixedTypes="0" containsNonDate="0" containsString="0"/>
    </cacheField>
    <cacheField name="[Hospital Emergency Room Data].[Patient Admission Flag].[Patient Admission Flag]" caption="Patient Admission Flag" numFmtId="0" hierarchy="10" level="1">
      <sharedItems count="2">
        <s v="Admitted"/>
        <s v="Not Admitted"/>
      </sharedItems>
    </cacheField>
    <cacheField name="[Measures].[Count of Patient Admission Flag]" caption="Count of Patient Admission Flag" numFmtId="0" hierarchy="30" level="32767"/>
    <cacheField name="[calendar].[Date (Year)].[Date (Year)]" caption="Date (Year)" numFmtId="0" hierarchy="4" level="1">
      <sharedItems containsSemiMixedTypes="0" containsNonDate="0" containsString="0"/>
    </cacheField>
    <cacheField name="Dummy0" numFmtId="0" hierarchy="31" level="32767">
      <extLst>
        <ext xmlns:x14="http://schemas.microsoft.com/office/spreadsheetml/2009/9/main" uri="{63CAB8AC-B538-458d-9737-405883B0398D}">
          <x14:cacheField ignore="1"/>
        </ext>
      </extLst>
    </cacheField>
  </cacheFields>
  <cacheHierarchies count="32">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199.92770497685" createdVersion="5" refreshedVersion="6" minRefreshableVersion="3" recordCount="0" supportSubquery="1" supportAdvancedDrill="1">
  <cacheSource type="external" connectionId="3"/>
  <cacheFields count="4">
    <cacheField name="[calendar].[Date (Month)].[Date (Month)]" caption="Date (Month)" numFmtId="0" hierarchy="2" level="1">
      <sharedItems containsSemiMixedTypes="0" containsNonDate="0" containsString="0"/>
    </cacheField>
    <cacheField name="[Hospital Emergency Room Data].[Age Group].[Age Group]" caption="Age Group" numFmtId="0" hierarchy="6" level="1">
      <sharedItems count="8">
        <s v="0-09"/>
        <s v="10-19"/>
        <s v="20-29"/>
        <s v="30-39"/>
        <s v="40-49"/>
        <s v="50-59"/>
        <s v="60-69"/>
        <s v="70-79"/>
      </sharedItems>
    </cacheField>
    <cacheField name="[Measures].[Count of Patient Id]" caption="Count of Patient Id" numFmtId="0" hierarchy="24" level="32767"/>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199.927705555558" createdVersion="5" refreshedVersion="6" minRefreshableVersion="3" recordCount="0" supportSubquery="1" supportAdvancedDrill="1">
  <cacheSource type="external" connectionId="3"/>
  <cacheFields count="4">
    <cacheField name="[calendar].[Date (Month)].[Date (Month)]" caption="Date (Month)" numFmtId="0" hierarchy="2" level="1">
      <sharedItems containsSemiMixedTypes="0" containsNonDate="0" containsString="0"/>
    </cacheField>
    <cacheField name="[Measures].[Count of Patient Id]" caption="Count of Patient Id" numFmtId="0" hierarchy="24" level="32767"/>
    <cacheField name="[Hospital Emergency Room Data].[Patient Attend Status].[Patient Attend Status]" caption="Patient Attend Status" numFmtId="0" hierarchy="13" level="1">
      <sharedItems count="2">
        <s v="Delayed"/>
        <s v="Ontime"/>
      </sharedItems>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199.92770601852" createdVersion="5" refreshedVersion="6" minRefreshableVersion="3" recordCount="0" supportSubquery="1" supportAdvancedDrill="1">
  <cacheSource type="external" connectionId="3"/>
  <cacheFields count="4">
    <cacheField name="[calendar].[Date (Month)].[Date (Month)]" caption="Date (Month)" numFmtId="0" hierarchy="2" level="1">
      <sharedItems containsSemiMixedTypes="0" containsNonDate="0" containsString="0"/>
    </cacheField>
    <cacheField name="[Measures].[Count of Patient Id]" caption="Count of Patient Id" numFmtId="0" hierarchy="24" level="32767"/>
    <cacheField name="[Hospital Emergency Room Data].[Patient Gender].[Patient Gender]" caption="Patient Gender" numFmtId="0" hierarchy="14" level="1">
      <sharedItems count="2">
        <s v="Female"/>
        <s v="Male"/>
      </sharedItems>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199.92770659722" createdVersion="5" refreshedVersion="6" minRefreshableVersion="3" recordCount="0" supportSubquery="1" supportAdvancedDrill="1">
  <cacheSource type="external" connectionId="3"/>
  <cacheFields count="4">
    <cacheField name="[calendar].[Date (Month)].[Date (Month)]" caption="Date (Month)" numFmtId="0" hierarchy="2" level="1">
      <sharedItems containsSemiMixedTypes="0" containsNonDate="0" containsString="0"/>
    </cacheField>
    <cacheField name="[Measures].[Count of Patient Id]" caption="Count of Patient Id" numFmtId="0" hierarchy="24" level="32767"/>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calendar].[Date (Year)].[Date (Year)]" caption="Date (Year)" numFmtId="0" hierarchy="4" level="1">
      <sharedItems containsSemiMixedTypes="0" containsNonDate="0" containsString="0"/>
    </cacheField>
  </cacheFields>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0"/>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199.927707523151" createdVersion="5" refreshedVersion="6" minRefreshableVersion="3" recordCount="0" supportSubquery="1" supportAdvancedDrill="1">
  <cacheSource type="external" connectionId="3"/>
  <cacheFields count="4">
    <cacheField name="[Measures].[Distinct Count of Patient Id]" caption="Distinct Count of Patient Id" numFmtId="0" hierarchy="25" level="32767"/>
    <cacheField name="[calendar].[Date (Month)].[Date (Month)]" caption="Date (Month)" numFmtId="0" hierarchy="2" level="1">
      <sharedItems containsSemiMixedTypes="0" containsNonDate="0" containsString="0"/>
    </cacheField>
    <cacheField name="[calendar].[Date].[Date]" caption="Date" numFmtId="0" level="1">
      <sharedItems containsSemiMixedTypes="0" containsNonDate="0" containsDate="1" containsString="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Date (Year)].[Date (Year)]" caption="Date (Year)" numFmtId="0" hierarchy="4" level="1">
      <sharedItems count="1">
        <s v="2023"/>
      </sharedItems>
    </cacheField>
  </cacheFields>
  <cacheHierarchies count="31">
    <cacheHierarchy uniqueName="[calendar].[Date]" caption="Date" attribute="1" time="1" defaultMemberUniqueName="[calendar].[Date].[All]" allUniqueName="[calendar].[Date].[All]" dimensionUniqueName="[calendar]" displayFolder="" count="2" memberValueDatatype="7" unbalanced="0">
      <fieldsUsage count="2">
        <fieldUsage x="-1"/>
        <fieldUsage x="2"/>
      </fieldsUsage>
    </cacheHierarchy>
    <cacheHierarchy uniqueName="[calendar].[Date (Day)]" caption="Date (Day)" attribute="1" defaultMemberUniqueName="[calendar].[Date (Day)].[All]" allUniqueName="[calendar].[Date (Day)].[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3"/>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calendar].[Date (Day Index)]" caption="Date (Day Index)" attribute="1" defaultMemberUniqueName="[calendar].[Date (Day Index)].[All]" allUniqueName="[calendar].[Date (Day Index)].[All]" dimensionUniqueName="[calendar]" displayFolder="" count="2" memberValueDatatype="5" unbalanced="0" hidden="1"/>
    <cacheHierarchy uniqueName="[calendar].[Date (Month Index)]" caption="Date (Month Index)" attribute="1" defaultMemberUniqueName="[calendar].[Date (Month Index)].[All]" allUniqueName="[calendar].[Date (Month Index)].[All]" dimensionUniqueName="[calenda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199.927708564814" createdVersion="5" refreshedVersion="6" minRefreshableVersion="3" recordCount="0" supportSubquery="1" supportAdvancedDrill="1">
  <cacheSource type="external" connectionId="3"/>
  <cacheFields count="4">
    <cacheField name="[calendar].[Date (Day)].[Date (Day)]" caption="Date (Day)" numFmtId="0" hierarchy="1"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2" level="1">
      <sharedItems containsSemiMixedTypes="0" containsNonDate="0" containsString="0"/>
    </cacheField>
    <cacheField name="[calendar].[Date (Year)].[Date (Year)]" caption="Date (Year)" numFmtId="0" hierarchy="4" level="1">
      <sharedItems containsSemiMixedTypes="0" containsNonDate="0" containsString="0"/>
    </cacheField>
    <cacheField name="[Measures].[Average of Patient Waittime]" caption="Average of Patient Waittime" numFmtId="0" hierarchy="27" level="32767"/>
  </cacheFields>
  <cacheHierarchies count="31">
    <cacheHierarchy uniqueName="[calendar].[Date]" caption="Date" attribute="1" time="1" defaultMemberUniqueName="[calendar].[Date].[All]" allUniqueName="[calendar].[Date].[All]" dimensionUniqueName="[calendar]" displayFolder="" count="2" memberValueDatatype="7" unbalanced="0"/>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6199.92770925926" createdVersion="5" refreshedVersion="6" minRefreshableVersion="3" recordCount="0" supportSubquery="1" supportAdvancedDrill="1">
  <cacheSource type="external" connectionId="3"/>
  <cacheFields count="4">
    <cacheField name="[calendar].[Date (Day)].[Date (Day)]" caption="Date (Day)" numFmtId="0" hierarchy="1"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Date (Month)].[Date (Month)]" caption="Date (Month)" numFmtId="0" hierarchy="2" level="1">
      <sharedItems containsSemiMixedTypes="0" containsNonDate="0" containsString="0"/>
    </cacheField>
    <cacheField name="[calendar].[Date (Year)].[Date (Year)]" caption="Date (Year)" numFmtId="0" hierarchy="4" level="1">
      <sharedItems containsSemiMixedTypes="0" containsNonDate="0" containsString="0"/>
    </cacheField>
    <cacheField name="[Measures].[Average of Patient Satisfaction Score]" caption="Average of Patient Satisfaction Score" numFmtId="0" hierarchy="29" level="32767"/>
  </cacheFields>
  <cacheHierarchies count="31">
    <cacheHierarchy uniqueName="[calendar].[Date]" caption="Date" attribute="1" time="1" defaultMemberUniqueName="[calendar].[Date].[All]" allUniqueName="[calendar].[Date].[All]" dimensionUniqueName="[calendar]" displayFolder="" count="2" memberValueDatatype="7" unbalanced="0"/>
    <cacheHierarchy uniqueName="[calendar].[Date (Day)]" caption="Date (Day)" attribute="1" defaultMemberUniqueName="[calendar].[Date (Day)].[All]" allUniqueName="[calendar].[Date (Day)].[All]" dimensionUniqueName="[calendar]" displayFolder="" count="2" memberValueDatatype="130" unbalanced="0">
      <fieldsUsage count="2">
        <fieldUsage x="-1"/>
        <fieldUsage x="0"/>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fieldsUsage count="2">
        <fieldUsage x="-1"/>
        <fieldUsage x="2"/>
      </fieldsUsage>
    </cacheHierarchy>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name="Hospital Emergency Room Data" uniqueName="[Hospital Emergency Room Data]" caption="Hospital Emergency Room Data"/>
    <dimension measure="1" name="Measures" uniqueName="[Measures]" caption="Measures"/>
  </dimensions>
  <measureGroups count="2">
    <measureGroup name="calendar" caption="calenda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6180.63059965278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0" memberValueDatatype="130" unbalanced="0"/>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6180.710298726852"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Date]" caption="Date" attribute="1" time="1" defaultMemberUniqueName="[calendar].[Date].[All]" allUniqueName="[calendar].[Date].[All]" dimensionUniqueName="[calendar]" displayFolder="" count="0" memberValueDatatype="7" unbalanced="0"/>
    <cacheHierarchy uniqueName="[calendar].[Date (Day)]" caption="Date (Day)" attribute="1" defaultMemberUniqueName="[calendar].[Date (Day)].[All]" allUniqueName="[calendar].[Date (Day)].[All]" dimensionUniqueName="[calendar]" displayFolder="" count="0" memberValueDatatype="130" unbalanced="0"/>
    <cacheHierarchy uniqueName="[calendar].[Date (Month)]" caption="Date (Month)" attribute="1" defaultMemberUniqueName="[calendar].[Date (Month)].[All]" allUniqueName="[calendar].[Date (Month)].[All]" dimensionUniqueName="[calendar]" displayFolder="" count="0" memberValueDatatype="130" unbalanced="0"/>
    <cacheHierarchy uniqueName="[calendar].[Date (Quarter)]" caption="Date (Quarter)" attribute="1" defaultMemberUniqueName="[calendar].[Date (Quarter)].[All]" allUniqueName="[calendar].[Date (Quarter)].[All]" dimensionUniqueName="[calendar]" displayFolder="" count="0" memberValueDatatype="130" unbalanced="0"/>
    <cacheHierarchy uniqueName="[calendar].[Date (Year)]" caption="Date (Year)" attribute="1" defaultMemberUniqueName="[calendar].[Date (Year)].[All]" allUniqueName="[calendar].[Date (Year)].[All]" dimensionUniqueName="[calendar]" displayFolder="" count="2" memberValueDatatype="130" unbalanced="0"/>
    <cacheHierarchy uniqueName="[Hospital Emergency Room Data].[Add Column2]" caption="Add Column2" attribute="1" defaultMemberUniqueName="[Hospital Emergency Room Data].[Add Column2].[All]" allUniqueName="[Hospital Emergency Room Data].[Add Column2].[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calendar].[Date (Day Index)]" caption="Date (Day Index)" attribute="1" defaultMemberUniqueName="[calendar].[Date (Day Index)].[All]" allUniqueName="[calendar].[Date (Day Index)].[All]" dimensionUniqueName="[calendar]" displayFolder="" count="0" memberValueDatatype="5" unbalanced="0" hidden="1"/>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29" applyNumberFormats="0" applyBorderFormats="0" applyFontFormats="0" applyPatternFormats="0" applyAlignmentFormats="0" applyWidthHeightFormats="1" dataCaption="Values" tag="40724ea8-8beb-45f4-a498-2728a2cb35b2" updatedVersion="6" minRefreshableVersion="3" subtotalHiddenItems="1" itemPrintTitles="1" createdVersion="5" indent="0" outline="1" outlineData="1" multipleFieldFilters="0" chartFormat="37">
  <location ref="A50:B59"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numFmtId="1"/>
  </dataFields>
  <formats count="10">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s>
  <chartFormats count="1">
    <chartFormat chart="36" format="3"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2.xml><?xml version="1.0" encoding="utf-8"?>
<pivotTableDefinition xmlns="http://schemas.openxmlformats.org/spreadsheetml/2006/main" name="PivotTable3" cacheId="123" applyNumberFormats="0" applyBorderFormats="0" applyFontFormats="0" applyPatternFormats="0" applyAlignmentFormats="0" applyWidthHeightFormats="1" dataCaption="Values" tag="40724ea8-8beb-45f4-a498-2728a2cb35b2" updatedVersion="6" minRefreshableVersion="3" useAutoFormatting="1" itemPrintTitles="1" createdVersion="5" indent="0" outline="1" outlineData="1" multipleFieldFilters="0">
  <location ref="A13:A1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0"/>
  </dataFields>
  <formats count="6">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3.xml><?xml version="1.0" encoding="utf-8"?>
<pivotTableDefinition xmlns="http://schemas.openxmlformats.org/spreadsheetml/2006/main" name="PivotTable10" cacheId="141" applyNumberFormats="0" applyBorderFormats="0" applyFontFormats="0" applyPatternFormats="0" applyAlignmentFormats="0" applyWidthHeightFormats="1" dataCaption="Values" tag="30518066-a157-4b35-929e-ffdc917629d7" updatedVersion="6" minRefreshableVersion="3" subtotalHiddenItems="1" itemPrintTitles="1" createdVersion="5" indent="0" outline="1" outlineData="1" multipleFieldFilters="0">
  <location ref="N3:O5" firstHeaderRow="1" firstDataRow="1" firstDataCol="1"/>
  <pivotFields count="4">
    <pivotField dataField="1" showAll="0"/>
    <pivotField allDrilled="1" showAll="0" dataSourceSort="1" defaultAttributeDrillState="1"/>
    <pivotField axis="axisRow" allDrilled="1" showAll="0" dataSourceSort="1"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allDrilled="1" showAll="0" dataSourceSort="1">
      <items count="2">
        <item s="1" x="0" e="0"/>
        <item t="default"/>
      </items>
    </pivotField>
  </pivotFields>
  <rowFields count="2">
    <field x="3"/>
    <field x="2"/>
  </rowFields>
  <rowItems count="2">
    <i>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4.xml><?xml version="1.0" encoding="utf-8"?>
<pivotTableDefinition xmlns="http://schemas.openxmlformats.org/spreadsheetml/2006/main" name="PivotTable5" cacheId="126" applyNumberFormats="0" applyBorderFormats="0" applyFontFormats="0" applyPatternFormats="0" applyAlignmentFormats="0" applyWidthHeightFormats="1" dataCaption="Values" tag="40724ea8-8beb-45f4-a498-2728a2cb35b2" updatedVersion="6" minRefreshableVersion="3" itemPrintTitles="1" createdVersion="5" indent="0" outline="1" outlineData="1" multipleFieldFilters="0" chartFormat="68">
  <location ref="A38:C41"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7">
    <format dxfId="103">
      <pivotArea outline="0" collapsedLevelsAreSubtotals="1" fieldPosition="0"/>
    </format>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fieldPosition="0">
        <references count="1">
          <reference field="4294967294" count="1">
            <x v="1"/>
          </reference>
        </references>
      </pivotArea>
    </format>
  </formats>
  <chartFormats count="2">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Hierarchies count="32">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5.xml><?xml version="1.0" encoding="utf-8"?>
<pivotTableDefinition xmlns="http://schemas.openxmlformats.org/spreadsheetml/2006/main" name="PivotTable2" cacheId="120" applyNumberFormats="0" applyBorderFormats="0" applyFontFormats="0" applyPatternFormats="0" applyAlignmentFormats="0" applyWidthHeightFormats="1" dataCaption="Values" tag="ec60e170-827e-4737-a671-bd39fb3e2c3b" updatedVersion="6" minRefreshableVersion="3" useAutoFormatting="1" itemPrintTitles="1" createdVersion="5" indent="0" outline="1" outlineData="1" multipleFieldFilters="0">
  <location ref="A9:A10"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0" numFmtId="2"/>
  </dataFields>
  <formats count="6">
    <format dxfId="109">
      <pivotArea outline="0" collapsedLevelsAreSubtotals="1" fieldPosition="0"/>
    </format>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6.xml><?xml version="1.0" encoding="utf-8"?>
<pivotTableDefinition xmlns="http://schemas.openxmlformats.org/spreadsheetml/2006/main" name="PivotTable8" cacheId="135" applyNumberFormats="0" applyBorderFormats="0" applyFontFormats="0" applyPatternFormats="0" applyAlignmentFormats="0" applyWidthHeightFormats="1" dataCaption="Values" tag="40724ea8-8beb-45f4-a498-2728a2cb35b2" updatedVersion="6" minRefreshableVersion="3" subtotalHiddenItems="1" itemPrintTitles="1" createdVersion="5" indent="0" outline="1" outlineData="1" multipleFieldFilters="0" chartFormat="45">
  <location ref="A72:B75" firstHeaderRow="1" firstDataRow="1" firstDataCol="1"/>
  <pivotFields count="4">
    <pivotField allDrilled="1" showAll="0" dataSourceSort="1" defaultAttributeDrillState="1"/>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0">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s>
  <chartFormats count="6">
    <chartFormat chart="33"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40" format="12"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4" format="8">
      <pivotArea type="data" outline="0" fieldPosition="0">
        <references count="2">
          <reference field="4294967294" count="1" selected="0">
            <x v="0"/>
          </reference>
          <reference field="2" count="1" selected="0">
            <x v="0"/>
          </reference>
        </references>
      </pivotArea>
    </chartFormat>
    <chartFormat chart="44" format="9">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7.xml><?xml version="1.0" encoding="utf-8"?>
<pivotTableDefinition xmlns="http://schemas.openxmlformats.org/spreadsheetml/2006/main" name="PivotTable1" cacheId="117" applyNumberFormats="0" applyBorderFormats="0" applyFontFormats="0" applyPatternFormats="0" applyAlignmentFormats="0" applyWidthHeightFormats="1" dataCaption="Values" tag="30518066-a157-4b35-929e-ffdc917629d7" updatedVersion="6" minRefreshableVersion="3" useAutoFormatting="1" itemPrintTitles="1" createdVersion="5" indent="0" outline="1" outlineData="1" multipleFieldFilters="0">
  <location ref="A5:A6"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8.xml><?xml version="1.0" encoding="utf-8"?>
<pivotTableDefinition xmlns="http://schemas.openxmlformats.org/spreadsheetml/2006/main" name="PivotTable11" cacheId="144" applyNumberFormats="0" applyBorderFormats="0" applyFontFormats="0" applyPatternFormats="0" applyAlignmentFormats="0" applyWidthHeightFormats="1" dataCaption="Values" tag="30518066-a157-4b35-929e-ffdc917629d7" updatedVersion="6" minRefreshableVersion="3" subtotalHiddenItems="1" itemPrintTitles="1" createdVersion="5" indent="0" outline="1" outlineData="1" multipleFieldFilters="0" chartFormat="8">
  <location ref="F4:G36"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3" subtotal="average" baseField="0" baseItem="0" numFmtId="2"/>
  </dataFields>
  <formats count="10">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9.xml><?xml version="1.0" encoding="utf-8"?>
<pivotTableDefinition xmlns="http://schemas.openxmlformats.org/spreadsheetml/2006/main" name="PivotTable9" cacheId="138" applyNumberFormats="0" applyBorderFormats="0" applyFontFormats="0" applyPatternFormats="0" applyAlignmentFormats="0" applyWidthHeightFormats="1" dataCaption="Values" tag="40724ea8-8beb-45f4-a498-2728a2cb35b2" updatedVersion="6" minRefreshableVersion="3" subtotalHiddenItems="1" itemPrintTitles="1" createdVersion="5" indent="0" outline="1" outlineData="1" multipleFieldFilters="0" chartFormat="49">
  <location ref="A79:B88" firstHeaderRow="1" firstDataRow="1" firstDataCol="1"/>
  <pivotFields count="4">
    <pivotField allDrilled="1" showAll="0" dataSourceSort="1" defaultAttributeDrillState="1"/>
    <pivotField dataField="1" showAll="0"/>
    <pivotField axis="axisRow" allDrilled="1" showAll="0" defaultAttributeDrillState="1">
      <items count="9">
        <item x="7"/>
        <item x="3"/>
        <item x="0"/>
        <item x="1"/>
        <item x="6"/>
        <item x="5"/>
        <item x="2"/>
        <item x="4"/>
        <item t="default"/>
      </items>
    </pivotField>
    <pivotField allDrilled="1" showAll="0" dataSourceSort="1"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numFmtId="1"/>
  </dataFields>
  <formats count="10">
    <format dxfId="139">
      <pivotArea outline="0" collapsedLevelsAreSubtotals="1" fieldPosition="0"/>
    </format>
    <format dxfId="138">
      <pivotArea outline="0" collapsedLevelsAreSubtotals="1" fieldPosition="0"/>
    </format>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s>
  <chartFormats count="8">
    <chartFormat chart="33"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40" format="1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10.xml><?xml version="1.0" encoding="utf-8"?>
<pivotTableDefinition xmlns="http://schemas.openxmlformats.org/spreadsheetml/2006/main" name="PivotTable13" cacheId="147" applyNumberFormats="0" applyBorderFormats="0" applyFontFormats="0" applyPatternFormats="0" applyAlignmentFormats="0" applyWidthHeightFormats="1" dataCaption="Values" tag="30518066-a157-4b35-929e-ffdc917629d7" updatedVersion="6" minRefreshableVersion="3" subtotalHiddenItems="1" itemPrintTitles="1" createdVersion="5" indent="0" outline="1" outlineData="1" multipleFieldFilters="0" chartFormat="9">
  <location ref="J5:K37" firstHeaderRow="1" firstDataRow="1" firstDataCol="1"/>
  <pivotFields count="4">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allDrilled="1" showAll="0" dataSourceSort="1" defaultAttributeDrillState="1"/>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3" subtotal="average" baseField="0" baseItem="0"/>
  </dataFields>
  <formats count="10">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11.xml><?xml version="1.0" encoding="utf-8"?>
<pivotTableDefinition xmlns="http://schemas.openxmlformats.org/spreadsheetml/2006/main" name="PivotTable7" cacheId="132" applyNumberFormats="0" applyBorderFormats="0" applyFontFormats="0" applyPatternFormats="0" applyAlignmentFormats="0" applyWidthHeightFormats="1" dataCaption="Values" tag="40724ea8-8beb-45f4-a498-2728a2cb35b2" updatedVersion="6" minRefreshableVersion="3" subtotalHiddenItems="1" itemPrintTitles="1" createdVersion="5" indent="0" outline="1" outlineData="1" multipleFieldFilters="0" chartFormat="41">
  <location ref="A66:B69" firstHeaderRow="1" firstDataRow="1" firstDataCol="1"/>
  <pivotFields count="4">
    <pivotField allDrilled="1" showAll="0" dataSourceSort="1" defaultAttributeDrillState="1"/>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0">
    <format dxfId="159">
      <pivotArea outline="0" collapsedLevelsAreSubtotals="1" fieldPosition="0"/>
    </format>
    <format dxfId="158">
      <pivotArea outline="0" collapsedLevelsAreSubtotals="1" fieldPosition="0"/>
    </format>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s>
  <chartFormats count="5">
    <chartFormat chart="33"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40" format="10">
      <pivotArea type="data" outline="0" fieldPosition="0">
        <references count="2">
          <reference field="4294967294" count="1" selected="0">
            <x v="0"/>
          </reference>
          <reference field="2" count="1" selected="0">
            <x v="0"/>
          </reference>
        </references>
      </pivotArea>
    </chartFormat>
    <chartFormat chart="40" format="11">
      <pivotArea type="data" outline="0" fieldPosition="0">
        <references count="2">
          <reference field="4294967294" count="1" selected="0">
            <x v="0"/>
          </reference>
          <reference field="2" count="1" selected="0">
            <x v="1"/>
          </reference>
        </references>
      </pivotArea>
    </chartFormat>
    <chartFormat chart="40" format="12"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members count="1" level="1">
        <member name="[calendar].[Date (Month)].&amp;[Jul]"/>
      </members>
    </pivotHierarchy>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pivotTables/pivotTable12.xml><?xml version="1.0" encoding="utf-8"?>
<pivotTableDefinition xmlns="http://schemas.openxmlformats.org/spreadsheetml/2006/main" name="PivotTable4" cacheId="114" applyNumberFormats="0" applyBorderFormats="0" applyFontFormats="0" applyPatternFormats="0" applyAlignmentFormats="0" applyWidthHeightFormats="1" dataCaption="Values" tag="30518066-a157-4b35-929e-ffdc917629d7" updatedVersion="6" minRefreshableVersion="3" subtotalHiddenItems="1" itemPrintTitles="1" createdVersion="5" indent="0" outline="1" outlineData="1" multipleFieldFilters="0" chartFormat="14">
  <location ref="C3:D36" firstHeaderRow="1" firstDataRow="1" firstDataCol="1"/>
  <pivotFields count="5">
    <pivotField dataField="1" showAll="0"/>
    <pivotField axis="axisRow" allDrilled="1" showAll="0" dataSourceSort="1" defaultAttributeDrillState="1">
      <items count="5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t="default"/>
      </items>
    </pivotField>
    <pivotField axis="axisRow" allDrilled="1" showAll="0" dataSourceSort="1">
      <items count="3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t="default"/>
      </items>
    </pivotField>
    <pivotField axis="axisRow" allDrilled="1" showAll="0" dataSourceSort="1" defaultAttributeDrillState="1">
      <items count="2">
        <item s="1" x="0"/>
        <item t="default"/>
      </items>
    </pivotField>
    <pivotField allDrilled="1" showAll="0" dataSourceSort="1" defaultAttributeDrillState="1"/>
  </pivotFields>
  <rowFields count="3">
    <field x="3"/>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multipleItemSelectionAllowed="1" dragToData="1">
      <members count="1" level="1">
        <member name="[calendar].[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ar].[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3"/>
  </pivotTables>
  <data>
    <olap pivotCacheId="1">
      <levels count="2">
        <level uniqueName="[calendar].[Date (Month)].[(All)]" sourceCaption="(All)" count="0"/>
        <level uniqueName="[calendar].[Date (Month)].[Date (Month)]" sourceCaption="Date (Month)" count="12">
          <ranges>
            <range startItem="0">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i n="[calendar].[Date (Month)].&amp;[Jan]" c="Jan" nd="1"/>
              <i n="[calendar].[Date (Month)].&amp;[Feb]" c="Feb" nd="1"/>
              <i n="[calendar].[Date (Month)].&amp;[Mar]" c="Mar" nd="1"/>
            </range>
          </ranges>
        </level>
      </levels>
      <selections count="1">
        <selection n="[calendar].[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ar].[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1"/>
    <pivotTable tabId="1" name="PivotTable13"/>
  </pivotTables>
  <data>
    <olap pivotCacheId="2">
      <levels count="2">
        <level uniqueName="[calendar].[Date (Year)].[(All)]" sourceCaption="(All)" count="0"/>
        <level uniqueName="[calendar].[Date (Year)].[Date (Year)]" sourceCaption="Date (Year)" count="2">
          <ranges>
            <range startItem="0">
              <i n="[calendar].[Date (Year)].&amp;[2023]" c="2023"/>
              <i n="[calendar].[Date (Year)].&amp;[2024]" c="2024"/>
            </range>
          </ranges>
        </level>
      </levels>
      <selections count="1">
        <selection n="[calendar].[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showCaption="0" level="1" style="MY SLICER" rowHeight="180000"/>
  <slicer name="Date (Year)" cache="Slicer_Date__Year" caption="Date (Year)" columnCount="2" showCaption="0" level="1" style="MY SLIC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88"/>
  <sheetViews>
    <sheetView topLeftCell="A37" workbookViewId="0">
      <selection activeCell="A50" sqref="A50:B59"/>
    </sheetView>
  </sheetViews>
  <sheetFormatPr defaultRowHeight="15" x14ac:dyDescent="0.25"/>
  <cols>
    <col min="1" max="1" width="34.28515625" customWidth="1"/>
    <col min="2" max="2" width="15.5703125" customWidth="1"/>
    <col min="3" max="3" width="11.7109375" customWidth="1"/>
    <col min="4" max="4" width="21.42578125" customWidth="1"/>
    <col min="5" max="5" width="12.42578125" customWidth="1"/>
    <col min="6" max="6" width="13.140625" customWidth="1"/>
    <col min="7" max="7" width="18" customWidth="1"/>
    <col min="8" max="8" width="12" customWidth="1"/>
    <col min="9" max="9" width="13.85546875" customWidth="1"/>
    <col min="10" max="10" width="13.140625" bestFit="1" customWidth="1"/>
    <col min="11" max="11" width="26.85546875" bestFit="1" customWidth="1"/>
    <col min="12" max="12" width="5" customWidth="1"/>
    <col min="13" max="13" width="5" bestFit="1" customWidth="1"/>
    <col min="14" max="14" width="12.42578125" customWidth="1"/>
    <col min="15" max="15" width="11.28515625" bestFit="1" customWidth="1"/>
    <col min="16" max="39" width="10.42578125" customWidth="1"/>
    <col min="40" max="40" width="10.42578125" bestFit="1" customWidth="1"/>
    <col min="41" max="42" width="10.42578125" customWidth="1"/>
    <col min="43" max="71" width="10.42578125" bestFit="1" customWidth="1"/>
    <col min="72" max="73" width="10.42578125" customWidth="1"/>
    <col min="74" max="101" width="10.42578125" bestFit="1" customWidth="1"/>
    <col min="102" max="102" width="9.7109375" customWidth="1"/>
    <col min="103" max="103" width="10.42578125" bestFit="1" customWidth="1"/>
    <col min="104" max="105" width="10.42578125" customWidth="1"/>
    <col min="106" max="136" width="10.42578125" bestFit="1" customWidth="1"/>
    <col min="137" max="137" width="10.42578125" customWidth="1"/>
    <col min="138" max="165" width="10.42578125" bestFit="1" customWidth="1"/>
    <col min="166" max="166" width="10.42578125" customWidth="1"/>
    <col min="167" max="168" width="10.42578125" bestFit="1" customWidth="1"/>
    <col min="169" max="169" width="10.42578125" customWidth="1"/>
    <col min="170" max="199" width="10.42578125" bestFit="1" customWidth="1"/>
    <col min="200" max="201" width="10.42578125" customWidth="1"/>
    <col min="202" max="228" width="10.42578125" bestFit="1" customWidth="1"/>
    <col min="229" max="229" width="10.42578125" customWidth="1"/>
    <col min="230" max="232" width="10.42578125" bestFit="1" customWidth="1"/>
    <col min="233" max="233" width="10.42578125" customWidth="1"/>
    <col min="234" max="263" width="10.42578125" bestFit="1" customWidth="1"/>
    <col min="264" max="264" width="10.42578125" customWidth="1"/>
    <col min="265" max="284" width="10.42578125" bestFit="1" customWidth="1"/>
    <col min="285" max="285" width="9.7109375" customWidth="1"/>
    <col min="286" max="289" width="10.42578125" bestFit="1" customWidth="1"/>
    <col min="290" max="291" width="10.42578125" customWidth="1"/>
    <col min="292" max="295" width="10.42578125" bestFit="1" customWidth="1"/>
    <col min="296" max="298" width="10.42578125" customWidth="1"/>
    <col min="299" max="329" width="10.42578125" bestFit="1" customWidth="1"/>
    <col min="330" max="330" width="10.42578125" customWidth="1"/>
    <col min="331" max="353" width="10.42578125" bestFit="1" customWidth="1"/>
    <col min="354" max="354" width="10.42578125" customWidth="1"/>
    <col min="355" max="359" width="10.42578125" bestFit="1" customWidth="1"/>
    <col min="360" max="360" width="10.42578125" customWidth="1"/>
    <col min="361" max="391" width="10.42578125" bestFit="1" customWidth="1"/>
    <col min="392" max="393" width="10.42578125" customWidth="1"/>
    <col min="394" max="416" width="10.42578125" bestFit="1" customWidth="1"/>
    <col min="417" max="417" width="10.42578125" customWidth="1"/>
    <col min="418" max="423" width="10.42578125" bestFit="1" customWidth="1"/>
    <col min="424" max="424" width="10.42578125" customWidth="1"/>
    <col min="425" max="455" width="10.42578125" bestFit="1" customWidth="1"/>
    <col min="456" max="456" width="10.42578125" customWidth="1"/>
    <col min="457" max="469" width="10.42578125" bestFit="1" customWidth="1"/>
    <col min="470" max="470" width="9.7109375" customWidth="1"/>
    <col min="471" max="477" width="10.42578125" bestFit="1" customWidth="1"/>
    <col min="478" max="479" width="10.42578125" customWidth="1"/>
    <col min="480" max="486" width="10.42578125" bestFit="1" customWidth="1"/>
    <col min="487" max="488" width="10.42578125" customWidth="1"/>
    <col min="489" max="519" width="10.42578125" bestFit="1" customWidth="1"/>
    <col min="520" max="520" width="10.42578125" customWidth="1"/>
    <col min="521" max="540" width="10.42578125" bestFit="1" customWidth="1"/>
    <col min="541" max="541" width="10.42578125" customWidth="1"/>
    <col min="542" max="551" width="10.42578125" bestFit="1" customWidth="1"/>
    <col min="552" max="552" width="10.42578125" customWidth="1"/>
    <col min="553" max="571" width="10.42578125" bestFit="1" customWidth="1"/>
    <col min="572" max="572" width="10.42578125" customWidth="1"/>
    <col min="573" max="582" width="10.42578125" bestFit="1" customWidth="1"/>
    <col min="583" max="584" width="10.42578125" customWidth="1"/>
    <col min="585" max="589" width="10.42578125" bestFit="1" customWidth="1"/>
    <col min="590" max="590" width="10.42578125" customWidth="1"/>
    <col min="591" max="592" width="10.42578125" bestFit="1" customWidth="1"/>
    <col min="593" max="593" width="9.7109375" customWidth="1"/>
    <col min="594" max="594" width="11.28515625" bestFit="1" customWidth="1"/>
    <col min="595" max="603" width="10.42578125" bestFit="1" customWidth="1"/>
    <col min="604" max="604" width="9.140625" customWidth="1"/>
    <col min="605" max="605" width="9.7109375" customWidth="1"/>
    <col min="606" max="606" width="11.28515625" bestFit="1" customWidth="1"/>
    <col min="607" max="614" width="10.42578125" bestFit="1" customWidth="1"/>
    <col min="615" max="615" width="8.85546875" customWidth="1"/>
    <col min="616" max="616" width="9.7109375" bestFit="1" customWidth="1"/>
    <col min="617" max="617" width="9.85546875" bestFit="1" customWidth="1"/>
    <col min="618" max="618" width="11.28515625" bestFit="1" customWidth="1"/>
  </cols>
  <sheetData>
    <row r="3" spans="1:15" x14ac:dyDescent="0.25">
      <c r="C3" s="4" t="s">
        <v>4</v>
      </c>
      <c r="D3" t="s">
        <v>0</v>
      </c>
      <c r="N3" s="4" t="s">
        <v>4</v>
      </c>
      <c r="O3" t="s">
        <v>0</v>
      </c>
    </row>
    <row r="4" spans="1:15" x14ac:dyDescent="0.25">
      <c r="C4" s="5" t="s">
        <v>35</v>
      </c>
      <c r="D4" s="1">
        <v>464</v>
      </c>
      <c r="E4" s="1"/>
      <c r="F4" s="4" t="s">
        <v>4</v>
      </c>
      <c r="G4" t="s">
        <v>1</v>
      </c>
      <c r="N4" s="5" t="s">
        <v>34</v>
      </c>
      <c r="O4" s="1">
        <v>464</v>
      </c>
    </row>
    <row r="5" spans="1:15" x14ac:dyDescent="0.25">
      <c r="A5" t="s">
        <v>0</v>
      </c>
      <c r="C5" s="6" t="s">
        <v>36</v>
      </c>
      <c r="D5" s="1">
        <v>15</v>
      </c>
      <c r="E5" s="1"/>
      <c r="F5" s="5" t="s">
        <v>36</v>
      </c>
      <c r="G5" s="2">
        <v>38.200000000000003</v>
      </c>
      <c r="H5" s="2"/>
      <c r="I5" s="2"/>
      <c r="J5" s="4" t="s">
        <v>4</v>
      </c>
      <c r="K5" t="s">
        <v>2</v>
      </c>
      <c r="N5" s="5" t="s">
        <v>3</v>
      </c>
      <c r="O5" s="1">
        <v>464</v>
      </c>
    </row>
    <row r="6" spans="1:15" x14ac:dyDescent="0.25">
      <c r="A6" s="1">
        <v>464</v>
      </c>
      <c r="C6" s="6" t="s">
        <v>37</v>
      </c>
      <c r="D6" s="1">
        <v>9</v>
      </c>
      <c r="E6" s="1"/>
      <c r="F6" s="5" t="s">
        <v>37</v>
      </c>
      <c r="G6" s="2">
        <v>32.444444444444443</v>
      </c>
      <c r="H6" s="2"/>
      <c r="I6" s="2"/>
      <c r="J6" s="5" t="s">
        <v>36</v>
      </c>
      <c r="K6" s="2">
        <v>2</v>
      </c>
    </row>
    <row r="7" spans="1:15" x14ac:dyDescent="0.25">
      <c r="C7" s="6" t="s">
        <v>38</v>
      </c>
      <c r="D7" s="1">
        <v>16</v>
      </c>
      <c r="E7" s="1"/>
      <c r="F7" s="5" t="s">
        <v>38</v>
      </c>
      <c r="G7" s="2">
        <v>37.875</v>
      </c>
      <c r="H7" s="2"/>
      <c r="I7" s="2"/>
      <c r="J7" s="5" t="s">
        <v>37</v>
      </c>
      <c r="K7" s="2">
        <v>6.5</v>
      </c>
    </row>
    <row r="8" spans="1:15" x14ac:dyDescent="0.25">
      <c r="C8" s="6" t="s">
        <v>39</v>
      </c>
      <c r="D8" s="1">
        <v>16</v>
      </c>
      <c r="E8" s="1"/>
      <c r="F8" s="5" t="s">
        <v>39</v>
      </c>
      <c r="G8" s="2">
        <v>34.125</v>
      </c>
      <c r="H8" s="2"/>
      <c r="I8" s="2"/>
      <c r="J8" s="5" t="s">
        <v>38</v>
      </c>
      <c r="K8" s="2">
        <v>2.5</v>
      </c>
    </row>
    <row r="9" spans="1:15" x14ac:dyDescent="0.25">
      <c r="A9" t="s">
        <v>1</v>
      </c>
      <c r="C9" s="6" t="s">
        <v>40</v>
      </c>
      <c r="D9" s="1">
        <v>8</v>
      </c>
      <c r="E9" s="1"/>
      <c r="F9" s="5" t="s">
        <v>40</v>
      </c>
      <c r="G9" s="2">
        <v>24.5</v>
      </c>
      <c r="H9" s="2"/>
      <c r="I9" s="2"/>
      <c r="J9" s="5" t="s">
        <v>39</v>
      </c>
      <c r="K9" s="2">
        <v>2</v>
      </c>
    </row>
    <row r="10" spans="1:15" x14ac:dyDescent="0.25">
      <c r="A10" s="2">
        <v>34.719827586206897</v>
      </c>
      <c r="C10" s="6" t="s">
        <v>41</v>
      </c>
      <c r="D10" s="1">
        <v>12</v>
      </c>
      <c r="E10" s="1"/>
      <c r="F10" s="5" t="s">
        <v>41</v>
      </c>
      <c r="G10" s="2">
        <v>34.666666666666664</v>
      </c>
      <c r="H10" s="2"/>
      <c r="I10" s="2"/>
      <c r="J10" s="5" t="s">
        <v>40</v>
      </c>
      <c r="K10" s="2">
        <v>2</v>
      </c>
    </row>
    <row r="11" spans="1:15" x14ac:dyDescent="0.25">
      <c r="C11" s="6" t="s">
        <v>42</v>
      </c>
      <c r="D11" s="1">
        <v>15</v>
      </c>
      <c r="E11" s="1"/>
      <c r="F11" s="5" t="s">
        <v>42</v>
      </c>
      <c r="G11" s="2">
        <v>38.333333333333336</v>
      </c>
      <c r="H11" s="2"/>
      <c r="I11" s="2"/>
      <c r="J11" s="5" t="s">
        <v>41</v>
      </c>
      <c r="K11" s="2">
        <v>6</v>
      </c>
    </row>
    <row r="12" spans="1:15" x14ac:dyDescent="0.25">
      <c r="C12" s="6" t="s">
        <v>43</v>
      </c>
      <c r="D12" s="1">
        <v>12</v>
      </c>
      <c r="E12" s="1"/>
      <c r="F12" s="5" t="s">
        <v>43</v>
      </c>
      <c r="G12" s="2">
        <v>43.833333333333336</v>
      </c>
      <c r="H12" s="2"/>
      <c r="I12" s="2"/>
      <c r="J12" s="5" t="s">
        <v>42</v>
      </c>
      <c r="K12" s="2">
        <v>4.5714285714285712</v>
      </c>
    </row>
    <row r="13" spans="1:15" x14ac:dyDescent="0.25">
      <c r="A13" t="s">
        <v>2</v>
      </c>
      <c r="C13" s="6" t="s">
        <v>44</v>
      </c>
      <c r="D13" s="1">
        <v>16</v>
      </c>
      <c r="E13" s="1"/>
      <c r="F13" s="5" t="s">
        <v>44</v>
      </c>
      <c r="G13" s="2">
        <v>30.9375</v>
      </c>
      <c r="H13" s="2"/>
      <c r="I13" s="2"/>
      <c r="J13" s="5" t="s">
        <v>43</v>
      </c>
      <c r="K13" s="2">
        <v>4.333333333333333</v>
      </c>
    </row>
    <row r="14" spans="1:15" x14ac:dyDescent="0.25">
      <c r="A14" s="2">
        <v>4.9913043478260866</v>
      </c>
      <c r="C14" s="6" t="s">
        <v>45</v>
      </c>
      <c r="D14" s="1">
        <v>17</v>
      </c>
      <c r="E14" s="1"/>
      <c r="F14" s="5" t="s">
        <v>45</v>
      </c>
      <c r="G14" s="2">
        <v>34.941176470588232</v>
      </c>
      <c r="H14" s="2"/>
      <c r="I14" s="2"/>
      <c r="J14" s="5" t="s">
        <v>44</v>
      </c>
      <c r="K14" s="2">
        <v>7</v>
      </c>
    </row>
    <row r="15" spans="1:15" x14ac:dyDescent="0.25">
      <c r="C15" s="6" t="s">
        <v>46</v>
      </c>
      <c r="D15" s="1">
        <v>17</v>
      </c>
      <c r="E15" s="1"/>
      <c r="F15" s="5" t="s">
        <v>46</v>
      </c>
      <c r="G15" s="2">
        <v>30.294117647058822</v>
      </c>
      <c r="H15" s="2"/>
      <c r="I15" s="2"/>
      <c r="J15" s="5" t="s">
        <v>45</v>
      </c>
      <c r="K15" s="2">
        <v>7.666666666666667</v>
      </c>
    </row>
    <row r="16" spans="1:15" x14ac:dyDescent="0.25">
      <c r="C16" s="6" t="s">
        <v>47</v>
      </c>
      <c r="D16" s="1">
        <v>14</v>
      </c>
      <c r="E16" s="1"/>
      <c r="F16" s="5" t="s">
        <v>47</v>
      </c>
      <c r="G16" s="2">
        <v>32.428571428571431</v>
      </c>
      <c r="H16" s="2"/>
      <c r="I16" s="2"/>
      <c r="J16" s="5" t="s">
        <v>46</v>
      </c>
      <c r="K16" s="2">
        <v>4.5</v>
      </c>
    </row>
    <row r="17" spans="3:11" x14ac:dyDescent="0.25">
      <c r="C17" s="6" t="s">
        <v>48</v>
      </c>
      <c r="D17" s="1">
        <v>20</v>
      </c>
      <c r="E17" s="1"/>
      <c r="F17" s="5" t="s">
        <v>48</v>
      </c>
      <c r="G17" s="2">
        <v>31.1</v>
      </c>
      <c r="H17" s="2"/>
      <c r="I17" s="2"/>
      <c r="J17" s="5" t="s">
        <v>47</v>
      </c>
      <c r="K17" s="2">
        <v>4</v>
      </c>
    </row>
    <row r="18" spans="3:11" x14ac:dyDescent="0.25">
      <c r="C18" s="6" t="s">
        <v>49</v>
      </c>
      <c r="D18" s="1">
        <v>15</v>
      </c>
      <c r="E18" s="1"/>
      <c r="F18" s="5" t="s">
        <v>49</v>
      </c>
      <c r="G18" s="2">
        <v>34.333333333333336</v>
      </c>
      <c r="H18" s="2"/>
      <c r="I18" s="2"/>
      <c r="J18" s="5" t="s">
        <v>48</v>
      </c>
      <c r="K18" s="2">
        <v>5.25</v>
      </c>
    </row>
    <row r="19" spans="3:11" x14ac:dyDescent="0.25">
      <c r="C19" s="6" t="s">
        <v>50</v>
      </c>
      <c r="D19" s="1">
        <v>15</v>
      </c>
      <c r="E19" s="1"/>
      <c r="F19" s="5" t="s">
        <v>50</v>
      </c>
      <c r="G19" s="2">
        <v>28.6</v>
      </c>
      <c r="H19" s="2"/>
      <c r="I19" s="2"/>
      <c r="J19" s="5" t="s">
        <v>49</v>
      </c>
      <c r="K19" s="2">
        <v>3.5</v>
      </c>
    </row>
    <row r="20" spans="3:11" x14ac:dyDescent="0.25">
      <c r="C20" s="6" t="s">
        <v>51</v>
      </c>
      <c r="D20" s="1">
        <v>14</v>
      </c>
      <c r="E20" s="1"/>
      <c r="F20" s="5" t="s">
        <v>51</v>
      </c>
      <c r="G20" s="2">
        <v>32</v>
      </c>
      <c r="H20" s="2"/>
      <c r="I20" s="2"/>
      <c r="J20" s="5" t="s">
        <v>50</v>
      </c>
      <c r="K20" s="2">
        <v>8.3333333333333339</v>
      </c>
    </row>
    <row r="21" spans="3:11" x14ac:dyDescent="0.25">
      <c r="C21" s="6" t="s">
        <v>52</v>
      </c>
      <c r="D21" s="1">
        <v>16</v>
      </c>
      <c r="E21" s="1"/>
      <c r="F21" s="5" t="s">
        <v>52</v>
      </c>
      <c r="G21" s="2">
        <v>37.625</v>
      </c>
      <c r="H21" s="2"/>
      <c r="I21" s="2"/>
      <c r="J21" s="5" t="s">
        <v>51</v>
      </c>
      <c r="K21" s="2">
        <v>4.5</v>
      </c>
    </row>
    <row r="22" spans="3:11" x14ac:dyDescent="0.25">
      <c r="C22" s="6" t="s">
        <v>53</v>
      </c>
      <c r="D22" s="1">
        <v>14</v>
      </c>
      <c r="E22" s="1"/>
      <c r="F22" s="5" t="s">
        <v>53</v>
      </c>
      <c r="G22" s="2">
        <v>37.785714285714285</v>
      </c>
      <c r="H22" s="2"/>
      <c r="I22" s="2"/>
      <c r="J22" s="5" t="s">
        <v>52</v>
      </c>
      <c r="K22" s="2">
        <v>5</v>
      </c>
    </row>
    <row r="23" spans="3:11" x14ac:dyDescent="0.25">
      <c r="C23" s="6" t="s">
        <v>54</v>
      </c>
      <c r="D23" s="1">
        <v>16</v>
      </c>
      <c r="E23" s="1"/>
      <c r="F23" s="5" t="s">
        <v>54</v>
      </c>
      <c r="G23" s="2">
        <v>36.375</v>
      </c>
      <c r="H23" s="2"/>
      <c r="I23" s="2"/>
      <c r="J23" s="5" t="s">
        <v>53</v>
      </c>
      <c r="K23" s="2">
        <v>1</v>
      </c>
    </row>
    <row r="24" spans="3:11" x14ac:dyDescent="0.25">
      <c r="C24" s="6" t="s">
        <v>55</v>
      </c>
      <c r="D24" s="1">
        <v>14</v>
      </c>
      <c r="E24" s="1"/>
      <c r="F24" s="5" t="s">
        <v>55</v>
      </c>
      <c r="G24" s="2">
        <v>38.857142857142854</v>
      </c>
      <c r="H24" s="2"/>
      <c r="I24" s="2"/>
      <c r="J24" s="5" t="s">
        <v>54</v>
      </c>
      <c r="K24" s="2">
        <v>5.6</v>
      </c>
    </row>
    <row r="25" spans="3:11" x14ac:dyDescent="0.25">
      <c r="C25" s="6" t="s">
        <v>56</v>
      </c>
      <c r="D25" s="1">
        <v>13</v>
      </c>
      <c r="E25" s="1"/>
      <c r="F25" s="5" t="s">
        <v>56</v>
      </c>
      <c r="G25" s="2">
        <v>37</v>
      </c>
      <c r="H25" s="2"/>
      <c r="I25" s="2"/>
      <c r="J25" s="5" t="s">
        <v>55</v>
      </c>
      <c r="K25" s="2">
        <v>3</v>
      </c>
    </row>
    <row r="26" spans="3:11" x14ac:dyDescent="0.25">
      <c r="C26" s="6" t="s">
        <v>57</v>
      </c>
      <c r="D26" s="1">
        <v>19</v>
      </c>
      <c r="E26" s="1"/>
      <c r="F26" s="5" t="s">
        <v>57</v>
      </c>
      <c r="G26" s="2">
        <v>33</v>
      </c>
      <c r="H26" s="2"/>
      <c r="I26" s="2"/>
      <c r="J26" s="5" t="s">
        <v>56</v>
      </c>
      <c r="K26" s="2">
        <v>5.666666666666667</v>
      </c>
    </row>
    <row r="27" spans="3:11" x14ac:dyDescent="0.25">
      <c r="C27" s="6" t="s">
        <v>58</v>
      </c>
      <c r="D27" s="1">
        <v>15</v>
      </c>
      <c r="E27" s="1"/>
      <c r="F27" s="5" t="s">
        <v>58</v>
      </c>
      <c r="G27" s="2">
        <v>33.333333333333336</v>
      </c>
      <c r="H27" s="2"/>
      <c r="I27" s="2"/>
      <c r="J27" s="5" t="s">
        <v>57</v>
      </c>
      <c r="K27" s="2">
        <v>5.5</v>
      </c>
    </row>
    <row r="28" spans="3:11" x14ac:dyDescent="0.25">
      <c r="C28" s="6" t="s">
        <v>59</v>
      </c>
      <c r="D28" s="1">
        <v>18</v>
      </c>
      <c r="E28" s="1"/>
      <c r="F28" s="5" t="s">
        <v>59</v>
      </c>
      <c r="G28" s="2">
        <v>36.944444444444443</v>
      </c>
      <c r="H28" s="2"/>
      <c r="I28" s="2"/>
      <c r="J28" s="5" t="s">
        <v>58</v>
      </c>
      <c r="K28" s="2">
        <v>5.2</v>
      </c>
    </row>
    <row r="29" spans="3:11" x14ac:dyDescent="0.25">
      <c r="C29" s="6" t="s">
        <v>60</v>
      </c>
      <c r="D29" s="1">
        <v>14</v>
      </c>
      <c r="E29" s="1"/>
      <c r="F29" s="5" t="s">
        <v>60</v>
      </c>
      <c r="G29" s="2">
        <v>34.357142857142854</v>
      </c>
      <c r="H29" s="2"/>
      <c r="I29" s="2"/>
      <c r="J29" s="5" t="s">
        <v>59</v>
      </c>
      <c r="K29" s="2">
        <v>4</v>
      </c>
    </row>
    <row r="30" spans="3:11" x14ac:dyDescent="0.25">
      <c r="C30" s="6" t="s">
        <v>61</v>
      </c>
      <c r="D30" s="1">
        <v>16</v>
      </c>
      <c r="E30" s="1"/>
      <c r="F30" s="5" t="s">
        <v>61</v>
      </c>
      <c r="G30" s="2">
        <v>39</v>
      </c>
      <c r="H30" s="2"/>
      <c r="I30" s="2"/>
      <c r="J30" s="5" t="s">
        <v>60</v>
      </c>
      <c r="K30" s="2">
        <v>4.75</v>
      </c>
    </row>
    <row r="31" spans="3:11" x14ac:dyDescent="0.25">
      <c r="C31" s="6" t="s">
        <v>62</v>
      </c>
      <c r="D31" s="1">
        <v>13</v>
      </c>
      <c r="E31" s="1"/>
      <c r="F31" s="5" t="s">
        <v>62</v>
      </c>
      <c r="G31" s="2">
        <v>32</v>
      </c>
      <c r="H31" s="2"/>
      <c r="I31" s="2"/>
      <c r="J31" s="5" t="s">
        <v>61</v>
      </c>
      <c r="K31" s="2">
        <v>4.75</v>
      </c>
    </row>
    <row r="32" spans="3:11" x14ac:dyDescent="0.25">
      <c r="C32" s="6" t="s">
        <v>63</v>
      </c>
      <c r="D32" s="1">
        <v>12</v>
      </c>
      <c r="E32" s="1"/>
      <c r="F32" s="5" t="s">
        <v>63</v>
      </c>
      <c r="G32" s="2">
        <v>33.5</v>
      </c>
      <c r="H32" s="2"/>
      <c r="I32" s="2"/>
      <c r="J32" s="5" t="s">
        <v>62</v>
      </c>
      <c r="K32" s="2">
        <v>6.5</v>
      </c>
    </row>
    <row r="33" spans="1:11" x14ac:dyDescent="0.25">
      <c r="C33" s="6" t="s">
        <v>64</v>
      </c>
      <c r="D33" s="1">
        <v>19</v>
      </c>
      <c r="E33" s="1"/>
      <c r="F33" s="5" t="s">
        <v>64</v>
      </c>
      <c r="G33" s="2">
        <v>37.89473684210526</v>
      </c>
      <c r="H33" s="2"/>
      <c r="I33" s="2"/>
      <c r="J33" s="5" t="s">
        <v>63</v>
      </c>
      <c r="K33" s="2">
        <v>5</v>
      </c>
    </row>
    <row r="34" spans="1:11" x14ac:dyDescent="0.25">
      <c r="C34" s="6" t="s">
        <v>65</v>
      </c>
      <c r="D34" s="1">
        <v>19</v>
      </c>
      <c r="E34" s="1"/>
      <c r="F34" s="5" t="s">
        <v>65</v>
      </c>
      <c r="G34" s="2">
        <v>32</v>
      </c>
      <c r="H34" s="2"/>
      <c r="I34" s="2"/>
      <c r="J34" s="5" t="s">
        <v>64</v>
      </c>
      <c r="K34" s="2">
        <v>6.333333333333333</v>
      </c>
    </row>
    <row r="35" spans="1:11" x14ac:dyDescent="0.25">
      <c r="C35" s="6" t="s">
        <v>66</v>
      </c>
      <c r="D35" s="1">
        <v>15</v>
      </c>
      <c r="E35" s="1"/>
      <c r="F35" s="5" t="s">
        <v>66</v>
      </c>
      <c r="G35" s="2">
        <v>35.133333333333333</v>
      </c>
      <c r="H35" s="2"/>
      <c r="I35" s="2"/>
      <c r="J35" s="5" t="s">
        <v>65</v>
      </c>
      <c r="K35" s="2">
        <v>6</v>
      </c>
    </row>
    <row r="36" spans="1:11" x14ac:dyDescent="0.25">
      <c r="C36" s="5" t="s">
        <v>3</v>
      </c>
      <c r="D36" s="1">
        <v>464</v>
      </c>
      <c r="F36" s="5" t="s">
        <v>3</v>
      </c>
      <c r="G36" s="2">
        <v>34.719827586206897</v>
      </c>
      <c r="H36" s="2"/>
      <c r="I36" s="2"/>
      <c r="J36" s="5" t="s">
        <v>66</v>
      </c>
      <c r="K36" s="2">
        <v>8.1666666666666661</v>
      </c>
    </row>
    <row r="37" spans="1:11" x14ac:dyDescent="0.25">
      <c r="J37" s="5" t="s">
        <v>3</v>
      </c>
      <c r="K37" s="2">
        <v>4.9913043478260866</v>
      </c>
    </row>
    <row r="38" spans="1:11" x14ac:dyDescent="0.25">
      <c r="A38" s="4" t="s">
        <v>4</v>
      </c>
      <c r="B38" t="s">
        <v>9</v>
      </c>
      <c r="C38" t="s">
        <v>10</v>
      </c>
    </row>
    <row r="39" spans="1:11" x14ac:dyDescent="0.25">
      <c r="A39" s="5" t="s">
        <v>7</v>
      </c>
      <c r="B39" s="2">
        <v>236</v>
      </c>
      <c r="C39" s="7">
        <v>0.50862068965517238</v>
      </c>
    </row>
    <row r="40" spans="1:11" x14ac:dyDescent="0.25">
      <c r="A40" s="5" t="s">
        <v>8</v>
      </c>
      <c r="B40" s="2">
        <v>228</v>
      </c>
      <c r="C40" s="7">
        <v>0.49137931034482757</v>
      </c>
    </row>
    <row r="41" spans="1:11" x14ac:dyDescent="0.25">
      <c r="A41" s="5" t="s">
        <v>3</v>
      </c>
      <c r="B41" s="2">
        <v>464</v>
      </c>
      <c r="C41" s="7">
        <v>1</v>
      </c>
    </row>
    <row r="44" spans="1:11" ht="18.75" customHeight="1" x14ac:dyDescent="0.25">
      <c r="A44" s="17" t="s">
        <v>11</v>
      </c>
      <c r="B44" s="17" t="s">
        <v>33</v>
      </c>
      <c r="C44" s="17" t="s">
        <v>12</v>
      </c>
      <c r="D44" s="17" t="s">
        <v>13</v>
      </c>
      <c r="E44" s="9"/>
    </row>
    <row r="45" spans="1:11" ht="18.75" customHeight="1" x14ac:dyDescent="0.25">
      <c r="A45" s="14" t="str">
        <f>A40</f>
        <v>Not Admitted</v>
      </c>
      <c r="B45" s="14">
        <f>B40</f>
        <v>228</v>
      </c>
      <c r="C45" s="16">
        <f>C40</f>
        <v>0.49137931034482757</v>
      </c>
      <c r="D45" s="13"/>
      <c r="E45" s="10"/>
    </row>
    <row r="46" spans="1:11" ht="15.75" x14ac:dyDescent="0.25">
      <c r="A46" s="14" t="str">
        <f>A39</f>
        <v>Admitted</v>
      </c>
      <c r="B46" s="15">
        <f>B39</f>
        <v>236</v>
      </c>
      <c r="C46" s="16">
        <f>C39</f>
        <v>0.50862068965517238</v>
      </c>
      <c r="D46" s="13"/>
      <c r="E46" s="10"/>
    </row>
    <row r="50" spans="1:2" x14ac:dyDescent="0.25">
      <c r="A50" s="4" t="s">
        <v>4</v>
      </c>
      <c r="B50" t="s">
        <v>22</v>
      </c>
    </row>
    <row r="51" spans="1:2" x14ac:dyDescent="0.25">
      <c r="A51" s="5" t="s">
        <v>14</v>
      </c>
      <c r="B51" s="8">
        <v>61</v>
      </c>
    </row>
    <row r="52" spans="1:2" x14ac:dyDescent="0.25">
      <c r="A52" s="5" t="s">
        <v>15</v>
      </c>
      <c r="B52" s="8">
        <v>53</v>
      </c>
    </row>
    <row r="53" spans="1:2" x14ac:dyDescent="0.25">
      <c r="A53" s="5" t="s">
        <v>16</v>
      </c>
      <c r="B53" s="8">
        <v>71</v>
      </c>
    </row>
    <row r="54" spans="1:2" x14ac:dyDescent="0.25">
      <c r="A54" s="5" t="s">
        <v>17</v>
      </c>
      <c r="B54" s="8">
        <v>59</v>
      </c>
    </row>
    <row r="55" spans="1:2" x14ac:dyDescent="0.25">
      <c r="A55" s="5" t="s">
        <v>18</v>
      </c>
      <c r="B55" s="8">
        <v>63</v>
      </c>
    </row>
    <row r="56" spans="1:2" x14ac:dyDescent="0.25">
      <c r="A56" s="5" t="s">
        <v>19</v>
      </c>
      <c r="B56" s="8">
        <v>63</v>
      </c>
    </row>
    <row r="57" spans="1:2" x14ac:dyDescent="0.25">
      <c r="A57" s="5" t="s">
        <v>20</v>
      </c>
      <c r="B57" s="8">
        <v>37</v>
      </c>
    </row>
    <row r="58" spans="1:2" x14ac:dyDescent="0.25">
      <c r="A58" s="5" t="s">
        <v>21</v>
      </c>
      <c r="B58" s="8">
        <v>57</v>
      </c>
    </row>
    <row r="59" spans="1:2" x14ac:dyDescent="0.25">
      <c r="A59" s="5" t="s">
        <v>3</v>
      </c>
      <c r="B59" s="8">
        <v>464</v>
      </c>
    </row>
    <row r="66" spans="1:2" x14ac:dyDescent="0.25">
      <c r="A66" s="4" t="s">
        <v>4</v>
      </c>
      <c r="B66" t="s">
        <v>22</v>
      </c>
    </row>
    <row r="67" spans="1:2" x14ac:dyDescent="0.25">
      <c r="A67" s="5" t="s">
        <v>5</v>
      </c>
      <c r="B67" s="8">
        <v>267</v>
      </c>
    </row>
    <row r="68" spans="1:2" x14ac:dyDescent="0.25">
      <c r="A68" s="5" t="s">
        <v>6</v>
      </c>
      <c r="B68" s="8">
        <v>197</v>
      </c>
    </row>
    <row r="69" spans="1:2" x14ac:dyDescent="0.25">
      <c r="A69" s="5" t="s">
        <v>3</v>
      </c>
      <c r="B69" s="8">
        <v>464</v>
      </c>
    </row>
    <row r="72" spans="1:2" x14ac:dyDescent="0.25">
      <c r="A72" s="4" t="s">
        <v>4</v>
      </c>
      <c r="B72" t="s">
        <v>22</v>
      </c>
    </row>
    <row r="73" spans="1:2" x14ac:dyDescent="0.25">
      <c r="A73" s="5" t="s">
        <v>23</v>
      </c>
      <c r="B73" s="8">
        <v>228</v>
      </c>
    </row>
    <row r="74" spans="1:2" x14ac:dyDescent="0.25">
      <c r="A74" s="5" t="s">
        <v>24</v>
      </c>
      <c r="B74" s="8">
        <v>236</v>
      </c>
    </row>
    <row r="75" spans="1:2" x14ac:dyDescent="0.25">
      <c r="A75" s="5" t="s">
        <v>3</v>
      </c>
      <c r="B75" s="8">
        <v>464</v>
      </c>
    </row>
    <row r="79" spans="1:2" x14ac:dyDescent="0.25">
      <c r="A79" s="4" t="s">
        <v>4</v>
      </c>
      <c r="B79" t="s">
        <v>22</v>
      </c>
    </row>
    <row r="80" spans="1:2" x14ac:dyDescent="0.25">
      <c r="A80" s="5" t="s">
        <v>32</v>
      </c>
      <c r="B80" s="8">
        <v>3</v>
      </c>
    </row>
    <row r="81" spans="1:2" x14ac:dyDescent="0.25">
      <c r="A81" s="5" t="s">
        <v>28</v>
      </c>
      <c r="B81" s="8">
        <v>9</v>
      </c>
    </row>
    <row r="82" spans="1:2" x14ac:dyDescent="0.25">
      <c r="A82" s="5" t="s">
        <v>25</v>
      </c>
      <c r="B82" s="8">
        <v>12</v>
      </c>
    </row>
    <row r="83" spans="1:2" x14ac:dyDescent="0.25">
      <c r="A83" s="5" t="s">
        <v>26</v>
      </c>
      <c r="B83" s="8">
        <v>8</v>
      </c>
    </row>
    <row r="84" spans="1:2" x14ac:dyDescent="0.25">
      <c r="A84" s="5" t="s">
        <v>31</v>
      </c>
      <c r="B84" s="8">
        <v>11</v>
      </c>
    </row>
    <row r="85" spans="1:2" x14ac:dyDescent="0.25">
      <c r="A85" s="5" t="s">
        <v>30</v>
      </c>
      <c r="B85" s="8">
        <v>54</v>
      </c>
    </row>
    <row r="86" spans="1:2" x14ac:dyDescent="0.25">
      <c r="A86" s="5" t="s">
        <v>27</v>
      </c>
      <c r="B86" s="8">
        <v>87</v>
      </c>
    </row>
    <row r="87" spans="1:2" x14ac:dyDescent="0.25">
      <c r="A87" s="5" t="s">
        <v>29</v>
      </c>
      <c r="B87" s="8">
        <v>280</v>
      </c>
    </row>
    <row r="88" spans="1:2" x14ac:dyDescent="0.25">
      <c r="A88" s="5" t="s">
        <v>3</v>
      </c>
      <c r="B88" s="8">
        <v>464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5"/>
  <sheetViews>
    <sheetView showGridLines="0" tabSelected="1" zoomScale="142" zoomScaleNormal="110" workbookViewId="0">
      <selection activeCell="E22" sqref="E22"/>
    </sheetView>
  </sheetViews>
  <sheetFormatPr defaultRowHeight="15" x14ac:dyDescent="0.25"/>
  <sheetData>
    <row r="1" spans="1:16" x14ac:dyDescent="0.25">
      <c r="A1" s="3"/>
      <c r="B1" s="3"/>
      <c r="C1" s="3"/>
      <c r="D1" s="3"/>
      <c r="E1" s="3"/>
      <c r="F1" s="3"/>
      <c r="G1" s="3"/>
      <c r="H1" s="3"/>
      <c r="I1" s="3"/>
      <c r="J1" s="3"/>
      <c r="K1" s="3"/>
      <c r="L1" s="3"/>
      <c r="M1" s="3"/>
      <c r="N1" s="3"/>
      <c r="O1" s="3"/>
      <c r="P1" s="3"/>
    </row>
    <row r="2" spans="1:16" x14ac:dyDescent="0.25">
      <c r="A2" s="3"/>
      <c r="B2" s="3"/>
      <c r="C2" s="3"/>
      <c r="D2" s="3"/>
      <c r="E2" s="3"/>
      <c r="F2" s="3"/>
      <c r="G2" s="3"/>
      <c r="H2" s="3"/>
      <c r="I2" s="3"/>
      <c r="J2" s="3"/>
      <c r="K2" s="3"/>
      <c r="L2" s="3"/>
      <c r="M2" s="3"/>
      <c r="N2" s="3"/>
      <c r="O2" s="3"/>
      <c r="P2" s="3"/>
    </row>
    <row r="3" spans="1:16" x14ac:dyDescent="0.25">
      <c r="A3" s="3"/>
      <c r="B3" s="3"/>
      <c r="C3" s="3"/>
      <c r="D3" s="3"/>
      <c r="E3" s="3"/>
      <c r="F3" s="3"/>
      <c r="G3" s="3"/>
      <c r="H3" s="3"/>
      <c r="I3" s="3"/>
      <c r="J3" s="3"/>
      <c r="K3" s="3"/>
      <c r="L3" s="3"/>
      <c r="M3" s="3"/>
      <c r="N3" s="3"/>
      <c r="O3" s="3"/>
      <c r="P3" s="3"/>
    </row>
    <row r="4" spans="1:16" x14ac:dyDescent="0.25">
      <c r="A4" s="3"/>
      <c r="B4" s="3"/>
      <c r="C4" s="3"/>
      <c r="D4" s="3"/>
      <c r="E4" s="3"/>
      <c r="F4" s="3"/>
      <c r="G4" s="3"/>
      <c r="H4" s="3"/>
      <c r="I4" s="3"/>
      <c r="J4" s="3"/>
      <c r="K4" s="3"/>
      <c r="L4" s="3"/>
      <c r="M4" s="3"/>
      <c r="N4" s="3"/>
      <c r="O4" s="3"/>
      <c r="P4" s="3"/>
    </row>
    <row r="5" spans="1:16" x14ac:dyDescent="0.25">
      <c r="A5" s="3"/>
      <c r="B5" s="3"/>
      <c r="C5" s="3"/>
      <c r="D5" s="3"/>
      <c r="E5" s="3"/>
      <c r="F5" s="3"/>
      <c r="G5" s="3"/>
      <c r="H5" s="3"/>
      <c r="I5" s="3"/>
      <c r="J5" s="3"/>
      <c r="K5" s="3"/>
      <c r="L5" s="3"/>
      <c r="M5" s="3"/>
      <c r="N5" s="3"/>
      <c r="O5" s="3"/>
      <c r="P5" s="3"/>
    </row>
    <row r="6" spans="1:16" x14ac:dyDescent="0.25">
      <c r="A6" s="3"/>
      <c r="B6" s="3"/>
      <c r="C6" s="3"/>
      <c r="D6" s="3"/>
      <c r="E6" s="3"/>
      <c r="F6" s="3"/>
      <c r="G6" s="3"/>
      <c r="H6" s="3"/>
      <c r="I6" s="3"/>
      <c r="J6" s="3"/>
      <c r="K6" s="3"/>
      <c r="L6" s="3"/>
      <c r="M6" s="3"/>
      <c r="N6" s="3"/>
      <c r="O6" s="3"/>
      <c r="P6" s="3"/>
    </row>
    <row r="7" spans="1:16" x14ac:dyDescent="0.25">
      <c r="A7" s="3"/>
      <c r="B7" s="3"/>
      <c r="C7" s="3"/>
      <c r="D7" s="3"/>
      <c r="E7" s="3"/>
      <c r="F7" s="3"/>
      <c r="G7" s="3"/>
      <c r="H7" s="3"/>
      <c r="I7" s="3"/>
      <c r="J7" s="3"/>
      <c r="K7" s="3"/>
      <c r="L7" s="3"/>
      <c r="M7" s="3"/>
      <c r="N7" s="3"/>
      <c r="O7" s="3"/>
      <c r="P7" s="3"/>
    </row>
    <row r="8" spans="1:16" x14ac:dyDescent="0.25">
      <c r="A8" s="3"/>
      <c r="B8" s="3"/>
      <c r="C8" s="3"/>
      <c r="D8" s="3"/>
      <c r="E8" s="3"/>
      <c r="F8" s="3"/>
      <c r="G8" s="3"/>
      <c r="H8" s="3"/>
      <c r="I8" s="3"/>
      <c r="J8" s="3"/>
      <c r="K8" s="3"/>
      <c r="L8" s="3"/>
      <c r="M8" s="3"/>
      <c r="N8" s="3"/>
      <c r="O8" s="3"/>
      <c r="P8" s="3"/>
    </row>
    <row r="9" spans="1:16" x14ac:dyDescent="0.25">
      <c r="A9" s="3"/>
      <c r="B9" s="3"/>
      <c r="C9" s="3"/>
      <c r="D9" s="3"/>
      <c r="E9" s="3"/>
      <c r="F9" s="3"/>
      <c r="G9" s="3"/>
      <c r="H9" s="3"/>
      <c r="I9" s="3"/>
      <c r="J9" s="3"/>
      <c r="K9" s="3"/>
      <c r="L9" s="3"/>
      <c r="M9" s="3"/>
      <c r="N9" s="3"/>
      <c r="O9" s="3"/>
      <c r="P9" s="3"/>
    </row>
    <row r="10" spans="1:16" x14ac:dyDescent="0.25">
      <c r="A10" s="3"/>
      <c r="B10" s="3"/>
      <c r="C10" s="3"/>
      <c r="D10" s="3"/>
      <c r="E10" s="3"/>
      <c r="F10" s="3"/>
      <c r="G10" s="3"/>
      <c r="H10" s="3"/>
      <c r="I10" s="3"/>
      <c r="J10" s="3"/>
      <c r="K10" s="3"/>
      <c r="L10" s="3"/>
      <c r="M10" s="3"/>
      <c r="N10" s="3"/>
      <c r="O10" s="3"/>
      <c r="P10" s="3"/>
    </row>
    <row r="11" spans="1:16" x14ac:dyDescent="0.25">
      <c r="A11" s="3"/>
      <c r="B11" s="3"/>
      <c r="C11" s="3"/>
      <c r="D11" s="3"/>
      <c r="E11" s="3"/>
      <c r="F11" s="3"/>
      <c r="G11" s="3"/>
      <c r="H11" s="3"/>
      <c r="I11" s="3"/>
      <c r="J11" s="3"/>
      <c r="K11" s="3"/>
      <c r="L11" s="3"/>
      <c r="M11" s="3"/>
      <c r="N11" s="3"/>
      <c r="O11" s="3"/>
      <c r="P11" s="3"/>
    </row>
    <row r="12" spans="1:16" x14ac:dyDescent="0.25">
      <c r="A12" s="3"/>
      <c r="B12" s="3"/>
      <c r="C12" s="3"/>
      <c r="D12" s="3"/>
      <c r="E12" s="3"/>
      <c r="F12" s="3"/>
      <c r="G12" s="3"/>
      <c r="H12" s="3"/>
      <c r="I12" s="3"/>
      <c r="J12" s="3"/>
      <c r="K12" s="3"/>
      <c r="L12" s="3"/>
      <c r="M12" s="3"/>
      <c r="N12" s="3"/>
      <c r="O12" s="3"/>
      <c r="P12" s="3"/>
    </row>
    <row r="13" spans="1:16" x14ac:dyDescent="0.25">
      <c r="A13" s="3"/>
      <c r="B13" s="3"/>
      <c r="C13" s="3"/>
      <c r="D13" s="3"/>
      <c r="E13" s="3"/>
      <c r="F13" s="3"/>
      <c r="G13" s="3"/>
      <c r="H13" s="3"/>
      <c r="I13" s="3"/>
      <c r="J13" s="3"/>
      <c r="K13" s="3"/>
      <c r="L13" s="3"/>
      <c r="M13" s="3"/>
      <c r="N13" s="3"/>
      <c r="O13" s="3"/>
      <c r="P13" s="3"/>
    </row>
    <row r="14" spans="1:16" x14ac:dyDescent="0.25">
      <c r="A14" s="3"/>
      <c r="B14" s="3"/>
      <c r="C14" s="3"/>
      <c r="D14" s="3"/>
      <c r="E14" s="3"/>
      <c r="F14" s="3"/>
      <c r="G14" s="3"/>
      <c r="H14" s="3"/>
      <c r="I14" s="3"/>
      <c r="J14" s="3"/>
      <c r="K14" s="3"/>
      <c r="L14" s="3"/>
      <c r="M14" s="3"/>
      <c r="N14" s="3"/>
      <c r="O14" s="3"/>
      <c r="P14" s="3"/>
    </row>
    <row r="15" spans="1:16" x14ac:dyDescent="0.25">
      <c r="A15" s="3"/>
      <c r="B15" s="3"/>
      <c r="C15" s="3"/>
      <c r="D15" s="3"/>
      <c r="E15" s="3"/>
      <c r="F15" s="3"/>
      <c r="G15" s="3"/>
      <c r="H15" s="3"/>
      <c r="I15" s="3"/>
      <c r="J15" s="3"/>
      <c r="K15" s="3"/>
      <c r="L15" s="3"/>
      <c r="M15" s="3"/>
      <c r="N15" s="3"/>
      <c r="O15" s="3"/>
      <c r="P15" s="3"/>
    </row>
    <row r="16" spans="1:16" x14ac:dyDescent="0.25">
      <c r="A16" s="3"/>
      <c r="B16" s="3"/>
      <c r="C16" s="3"/>
      <c r="D16" s="3"/>
      <c r="E16" s="3"/>
      <c r="F16" s="3"/>
      <c r="G16" s="3"/>
      <c r="H16" s="3"/>
      <c r="I16" s="3"/>
      <c r="J16" s="3"/>
      <c r="K16" s="3"/>
      <c r="L16" s="3"/>
      <c r="M16" s="3"/>
      <c r="N16" s="3"/>
      <c r="O16" s="3"/>
      <c r="P16" s="3"/>
    </row>
    <row r="17" spans="1:16" x14ac:dyDescent="0.25">
      <c r="A17" s="3"/>
      <c r="B17" s="3"/>
      <c r="C17" s="3"/>
      <c r="D17" s="3"/>
      <c r="E17" s="3"/>
      <c r="F17" s="3"/>
      <c r="G17" s="3"/>
      <c r="H17" s="3"/>
      <c r="I17" s="3"/>
      <c r="J17" s="3"/>
      <c r="K17" s="3"/>
      <c r="L17" s="3"/>
      <c r="M17" s="3"/>
      <c r="N17" s="3"/>
      <c r="O17" s="3"/>
      <c r="P17" s="3"/>
    </row>
    <row r="18" spans="1:16" x14ac:dyDescent="0.25">
      <c r="A18" s="3"/>
      <c r="B18" s="3"/>
      <c r="C18" s="3"/>
      <c r="D18" s="3"/>
      <c r="E18" s="3"/>
      <c r="F18" s="3"/>
      <c r="G18" s="3"/>
      <c r="H18" s="3"/>
      <c r="I18" s="3"/>
      <c r="J18" s="3"/>
      <c r="K18" s="3"/>
      <c r="L18" s="3"/>
      <c r="M18" s="3"/>
      <c r="N18" s="3"/>
      <c r="O18" s="3"/>
      <c r="P18" s="3"/>
    </row>
    <row r="19" spans="1:16" x14ac:dyDescent="0.25">
      <c r="A19" s="3"/>
      <c r="B19" s="3"/>
      <c r="C19" s="3"/>
      <c r="D19" s="3"/>
      <c r="E19" s="3"/>
      <c r="F19" s="3"/>
      <c r="G19" s="3"/>
      <c r="H19" s="3"/>
      <c r="I19" s="3"/>
      <c r="J19" s="3"/>
      <c r="K19" s="3"/>
      <c r="L19" s="3"/>
      <c r="M19" s="3"/>
      <c r="N19" s="3"/>
      <c r="O19" s="3"/>
      <c r="P19" s="3"/>
    </row>
    <row r="20" spans="1:16" x14ac:dyDescent="0.25">
      <c r="A20" s="3"/>
      <c r="B20" s="3"/>
      <c r="C20" s="3"/>
      <c r="D20" s="3"/>
      <c r="E20" s="3"/>
      <c r="F20" s="3"/>
      <c r="G20" s="3"/>
      <c r="H20" s="3"/>
      <c r="I20" s="3"/>
      <c r="J20" s="3"/>
      <c r="K20" s="3"/>
      <c r="L20" s="3"/>
      <c r="M20" s="3"/>
      <c r="N20" s="3"/>
      <c r="O20" s="3"/>
      <c r="P20" s="3"/>
    </row>
    <row r="25" spans="1:16" ht="12" customHeight="1" x14ac:dyDescent="0.25"/>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heetViews>
  <sheetFormatPr defaultRowHeight="15" x14ac:dyDescent="0.25"/>
  <sheetData>
    <row r="1" spans="1:13" x14ac:dyDescent="0.25">
      <c r="A1" s="11"/>
      <c r="B1" s="11"/>
      <c r="C1" s="11"/>
      <c r="D1" s="11"/>
      <c r="E1" s="11"/>
      <c r="F1" s="11"/>
      <c r="G1" s="11"/>
      <c r="H1" s="11"/>
      <c r="I1" s="11"/>
      <c r="J1" s="11"/>
      <c r="K1" s="11"/>
      <c r="L1" s="11"/>
      <c r="M1" s="11"/>
    </row>
    <row r="2" spans="1:13" x14ac:dyDescent="0.25">
      <c r="A2" s="11"/>
      <c r="B2" s="11"/>
      <c r="C2" s="11"/>
      <c r="D2" s="11"/>
      <c r="E2" s="11"/>
      <c r="F2" s="11"/>
      <c r="G2" s="11"/>
      <c r="H2" s="11"/>
      <c r="I2" s="11"/>
      <c r="J2" s="11"/>
      <c r="K2" s="11"/>
      <c r="L2" s="11"/>
      <c r="M2" s="11"/>
    </row>
    <row r="3" spans="1:13" x14ac:dyDescent="0.25">
      <c r="A3" s="11"/>
      <c r="B3" s="11"/>
      <c r="C3" s="11"/>
      <c r="D3" s="11"/>
      <c r="E3" s="11"/>
      <c r="F3" s="11"/>
      <c r="G3" s="11"/>
      <c r="H3" s="11"/>
      <c r="I3" s="11"/>
      <c r="J3" s="11"/>
      <c r="K3" s="11"/>
      <c r="L3" s="11"/>
      <c r="M3" s="11"/>
    </row>
    <row r="4" spans="1:13" x14ac:dyDescent="0.25">
      <c r="A4" s="11"/>
      <c r="B4" s="11"/>
      <c r="C4" s="11"/>
      <c r="D4" s="11"/>
      <c r="E4" s="11"/>
      <c r="F4" s="11"/>
      <c r="G4" s="11"/>
      <c r="H4" s="11"/>
      <c r="I4" s="11"/>
      <c r="J4" s="11"/>
      <c r="K4" s="11"/>
      <c r="L4" s="11"/>
      <c r="M4" s="11"/>
    </row>
    <row r="5" spans="1:13" x14ac:dyDescent="0.25">
      <c r="A5" s="11"/>
      <c r="B5" s="11"/>
      <c r="C5" s="11"/>
      <c r="D5" s="11"/>
      <c r="E5" s="11"/>
      <c r="F5" s="11"/>
      <c r="G5" s="11"/>
      <c r="H5" s="11"/>
      <c r="I5" s="11"/>
      <c r="J5" s="11"/>
      <c r="K5" s="11"/>
      <c r="L5" s="11"/>
      <c r="M5" s="11"/>
    </row>
    <row r="6" spans="1:13" x14ac:dyDescent="0.25">
      <c r="A6" s="11"/>
      <c r="B6" s="11"/>
      <c r="C6" s="11"/>
      <c r="D6" s="11"/>
      <c r="E6" s="11"/>
      <c r="F6" s="11"/>
      <c r="G6" s="11"/>
      <c r="H6" s="11"/>
      <c r="I6" s="11"/>
      <c r="J6" s="11"/>
      <c r="K6" s="11"/>
      <c r="L6" s="11"/>
      <c r="M6" s="11"/>
    </row>
    <row r="7" spans="1:13" x14ac:dyDescent="0.25">
      <c r="A7" s="11"/>
      <c r="B7" s="11"/>
      <c r="C7" s="11"/>
      <c r="D7" s="11"/>
      <c r="E7" s="11"/>
      <c r="F7" s="11"/>
      <c r="G7" s="11"/>
      <c r="H7" s="11"/>
      <c r="I7" s="11"/>
      <c r="J7" s="11"/>
      <c r="K7" s="11"/>
      <c r="L7" s="11"/>
      <c r="M7" s="11"/>
    </row>
    <row r="8" spans="1:13" x14ac:dyDescent="0.25">
      <c r="A8" s="11"/>
      <c r="B8" s="11"/>
      <c r="C8" s="11"/>
      <c r="D8" s="11"/>
      <c r="E8" s="11"/>
      <c r="F8" s="11"/>
      <c r="G8" s="11"/>
      <c r="H8" s="11"/>
      <c r="I8" s="11"/>
      <c r="J8" s="11"/>
      <c r="K8" s="11"/>
      <c r="L8" s="11"/>
      <c r="M8" s="11"/>
    </row>
    <row r="9" spans="1:13" x14ac:dyDescent="0.25">
      <c r="A9" s="11"/>
      <c r="B9" s="11"/>
      <c r="C9" s="11"/>
      <c r="D9" s="11"/>
      <c r="E9" s="11"/>
      <c r="F9" s="11"/>
      <c r="G9" s="11"/>
      <c r="H9" s="11"/>
      <c r="I9" s="11"/>
      <c r="J9" s="11"/>
      <c r="K9" s="11"/>
      <c r="L9" s="11"/>
      <c r="M9" s="11"/>
    </row>
    <row r="10" spans="1:13" x14ac:dyDescent="0.25">
      <c r="A10" s="11"/>
      <c r="B10" s="11"/>
      <c r="C10" s="11"/>
      <c r="D10" s="11"/>
      <c r="E10" s="11"/>
      <c r="F10" s="11"/>
      <c r="G10" s="11"/>
      <c r="H10" s="11"/>
      <c r="I10" s="11"/>
      <c r="J10" s="11"/>
      <c r="K10" s="11"/>
      <c r="L10" s="11"/>
      <c r="M10" s="11"/>
    </row>
    <row r="11" spans="1:13" x14ac:dyDescent="0.25">
      <c r="A11" s="11"/>
      <c r="B11" s="11"/>
      <c r="C11" s="11"/>
      <c r="D11" s="11"/>
      <c r="E11" s="11"/>
      <c r="F11" s="11"/>
      <c r="G11" s="11"/>
      <c r="H11" s="11"/>
      <c r="I11" s="11"/>
      <c r="J11" s="11"/>
      <c r="K11" s="11"/>
      <c r="L11" s="11"/>
      <c r="M11" s="11"/>
    </row>
    <row r="12" spans="1:13" x14ac:dyDescent="0.25">
      <c r="A12" s="11"/>
      <c r="B12" s="11"/>
      <c r="C12" s="11"/>
      <c r="D12" s="11"/>
      <c r="E12" s="11"/>
      <c r="F12" s="11"/>
      <c r="G12" s="11"/>
      <c r="H12" s="11"/>
      <c r="I12" s="11"/>
      <c r="J12" s="11"/>
      <c r="K12" s="11"/>
      <c r="L12" s="11"/>
      <c r="M12" s="11"/>
    </row>
    <row r="13" spans="1:13" x14ac:dyDescent="0.25">
      <c r="A13" s="11"/>
      <c r="B13" s="11"/>
      <c r="C13" s="11"/>
      <c r="D13" s="11"/>
      <c r="E13" s="11"/>
      <c r="F13" s="11"/>
      <c r="G13" s="11"/>
      <c r="H13" s="11"/>
      <c r="I13" s="11"/>
      <c r="J13" s="11"/>
      <c r="K13" s="11"/>
      <c r="L13" s="11"/>
      <c r="M13" s="11"/>
    </row>
    <row r="14" spans="1:13" x14ac:dyDescent="0.25">
      <c r="A14" s="11"/>
      <c r="B14" s="11"/>
      <c r="C14" s="11"/>
      <c r="D14" s="11"/>
      <c r="E14" s="11"/>
      <c r="F14" s="11"/>
      <c r="G14" s="11"/>
      <c r="H14" s="11"/>
      <c r="I14" s="11"/>
      <c r="J14" s="11"/>
      <c r="K14" s="11"/>
      <c r="L14" s="11"/>
      <c r="M14" s="11"/>
    </row>
    <row r="15" spans="1:13" x14ac:dyDescent="0.25">
      <c r="A15" s="11"/>
      <c r="B15" s="11"/>
      <c r="C15" s="11"/>
      <c r="D15" s="11"/>
      <c r="E15" s="11"/>
      <c r="F15" s="11"/>
      <c r="G15" s="11"/>
      <c r="H15" s="11"/>
      <c r="I15" s="11"/>
      <c r="J15" s="11"/>
      <c r="K15" s="11"/>
      <c r="L15" s="11"/>
      <c r="M15" s="11"/>
    </row>
    <row r="16" spans="1:13" x14ac:dyDescent="0.25">
      <c r="A16" s="11"/>
      <c r="B16" s="11"/>
      <c r="C16" s="11"/>
      <c r="D16" s="11"/>
      <c r="E16" s="11"/>
      <c r="F16" s="11"/>
      <c r="G16" s="11"/>
      <c r="H16" s="11"/>
      <c r="I16" s="11"/>
      <c r="J16" s="11"/>
      <c r="K16" s="11"/>
      <c r="L16" s="11"/>
      <c r="M16" s="11"/>
    </row>
    <row r="17" spans="1:13" x14ac:dyDescent="0.25">
      <c r="A17" s="11"/>
      <c r="B17" s="11"/>
      <c r="C17" s="11"/>
      <c r="D17" s="11"/>
      <c r="E17" s="11"/>
      <c r="F17" s="11"/>
      <c r="G17" s="11"/>
      <c r="H17" s="11"/>
      <c r="I17" s="11"/>
      <c r="J17" s="11"/>
      <c r="K17" s="11"/>
      <c r="L17" s="11"/>
      <c r="M17" s="11"/>
    </row>
    <row r="18" spans="1:13" x14ac:dyDescent="0.25">
      <c r="A18" s="11"/>
      <c r="B18" s="11"/>
      <c r="C18" s="11"/>
      <c r="D18" s="11"/>
      <c r="E18" s="11"/>
      <c r="F18" s="11"/>
      <c r="G18" s="11"/>
      <c r="H18" s="11"/>
      <c r="I18" s="11"/>
      <c r="J18" s="11"/>
      <c r="K18" s="11"/>
      <c r="L18" s="11"/>
      <c r="M18" s="11"/>
    </row>
    <row r="19" spans="1:13" x14ac:dyDescent="0.25">
      <c r="A19" s="11"/>
      <c r="B19" s="11"/>
      <c r="C19" s="11"/>
      <c r="D19" s="11"/>
      <c r="E19" s="11"/>
      <c r="F19" s="11"/>
      <c r="G19" s="11"/>
      <c r="H19" s="11"/>
      <c r="I19" s="11"/>
      <c r="J19" s="11"/>
      <c r="K19" s="11"/>
      <c r="L19" s="11"/>
      <c r="M19" s="11"/>
    </row>
    <row r="20" spans="1:13" x14ac:dyDescent="0.25">
      <c r="A20" s="11"/>
      <c r="B20" s="11"/>
      <c r="C20" s="11"/>
      <c r="D20" s="11"/>
      <c r="E20" s="11"/>
      <c r="F20" s="11"/>
      <c r="G20" s="11"/>
      <c r="H20" s="11"/>
      <c r="I20" s="11"/>
      <c r="J20" s="11"/>
      <c r="K20" s="11"/>
      <c r="L20" s="11"/>
      <c r="M20" s="1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election activeCell="C4" sqref="C4"/>
    </sheetView>
  </sheetViews>
  <sheetFormatPr defaultRowHeight="15" x14ac:dyDescent="0.25"/>
  <sheetData>
    <row r="1" spans="1:12" x14ac:dyDescent="0.25">
      <c r="A1" s="12"/>
      <c r="B1" s="12"/>
      <c r="C1" s="12"/>
      <c r="D1" s="12"/>
      <c r="E1" s="12"/>
      <c r="F1" s="12"/>
      <c r="G1" s="12"/>
      <c r="H1" s="12"/>
      <c r="I1" s="12"/>
      <c r="J1" s="12"/>
      <c r="K1" s="12"/>
      <c r="L1" s="12"/>
    </row>
    <row r="2" spans="1:12" x14ac:dyDescent="0.25">
      <c r="A2" s="12"/>
      <c r="B2" s="12"/>
      <c r="C2" s="12"/>
      <c r="D2" s="12"/>
      <c r="E2" s="12"/>
      <c r="F2" s="12"/>
      <c r="G2" s="12"/>
      <c r="H2" s="12"/>
      <c r="I2" s="12"/>
      <c r="J2" s="12"/>
      <c r="K2" s="12"/>
      <c r="L2" s="12"/>
    </row>
    <row r="3" spans="1:12" x14ac:dyDescent="0.25">
      <c r="A3" s="12"/>
      <c r="B3" s="12"/>
      <c r="C3" s="12"/>
      <c r="D3" s="12"/>
      <c r="E3" s="12"/>
      <c r="F3" s="12"/>
      <c r="G3" s="12"/>
      <c r="H3" s="12"/>
      <c r="I3" s="12"/>
      <c r="J3" s="12"/>
      <c r="K3" s="12"/>
      <c r="L3" s="12"/>
    </row>
    <row r="4" spans="1:12" x14ac:dyDescent="0.25">
      <c r="A4" s="12"/>
      <c r="B4" s="12"/>
      <c r="C4" s="12"/>
      <c r="D4" s="12"/>
      <c r="E4" s="12"/>
      <c r="F4" s="12"/>
      <c r="G4" s="12"/>
      <c r="H4" s="12"/>
      <c r="I4" s="12"/>
      <c r="J4" s="12"/>
      <c r="K4" s="12"/>
      <c r="L4" s="12"/>
    </row>
    <row r="5" spans="1:12" x14ac:dyDescent="0.25">
      <c r="A5" s="12"/>
      <c r="B5" s="12"/>
      <c r="C5" s="12"/>
      <c r="D5" s="12"/>
      <c r="E5" s="12"/>
      <c r="F5" s="12"/>
      <c r="G5" s="12"/>
      <c r="H5" s="12"/>
      <c r="I5" s="12"/>
      <c r="J5" s="12"/>
      <c r="K5" s="12"/>
      <c r="L5" s="12"/>
    </row>
    <row r="6" spans="1:12" x14ac:dyDescent="0.25">
      <c r="A6" s="12"/>
      <c r="B6" s="12"/>
      <c r="C6" s="12"/>
      <c r="D6" s="12"/>
      <c r="E6" s="12"/>
      <c r="F6" s="12"/>
      <c r="G6" s="12"/>
      <c r="H6" s="12"/>
      <c r="I6" s="12"/>
      <c r="J6" s="12"/>
      <c r="K6" s="12"/>
      <c r="L6" s="12"/>
    </row>
    <row r="7" spans="1:12" x14ac:dyDescent="0.25">
      <c r="A7" s="12"/>
      <c r="B7" s="12"/>
      <c r="C7" s="12"/>
      <c r="D7" s="12"/>
      <c r="E7" s="12"/>
      <c r="F7" s="12"/>
      <c r="G7" s="12"/>
      <c r="H7" s="12"/>
      <c r="I7" s="12"/>
      <c r="J7" s="12"/>
      <c r="K7" s="12"/>
      <c r="L7" s="12"/>
    </row>
    <row r="8" spans="1:12" x14ac:dyDescent="0.25">
      <c r="A8" s="12"/>
      <c r="B8" s="12"/>
      <c r="C8" s="12"/>
      <c r="D8" s="12"/>
      <c r="E8" s="12"/>
      <c r="F8" s="12"/>
      <c r="G8" s="12"/>
      <c r="H8" s="12"/>
      <c r="I8" s="12"/>
      <c r="J8" s="12"/>
      <c r="K8" s="12"/>
      <c r="L8" s="12"/>
    </row>
    <row r="9" spans="1:12" x14ac:dyDescent="0.25">
      <c r="A9" s="12"/>
      <c r="B9" s="12"/>
      <c r="C9" s="12"/>
      <c r="D9" s="12"/>
      <c r="E9" s="12"/>
      <c r="F9" s="12"/>
      <c r="G9" s="12"/>
      <c r="H9" s="12"/>
      <c r="I9" s="12"/>
      <c r="J9" s="12"/>
      <c r="K9" s="12"/>
      <c r="L9" s="12"/>
    </row>
    <row r="10" spans="1:12" x14ac:dyDescent="0.25">
      <c r="A10" s="12"/>
      <c r="B10" s="12"/>
      <c r="C10" s="12"/>
      <c r="D10" s="12"/>
      <c r="E10" s="12"/>
      <c r="F10" s="12"/>
      <c r="G10" s="12"/>
      <c r="H10" s="12"/>
      <c r="I10" s="12"/>
      <c r="J10" s="12"/>
      <c r="K10" s="12"/>
      <c r="L10" s="12"/>
    </row>
    <row r="11" spans="1:12" x14ac:dyDescent="0.25">
      <c r="A11" s="12"/>
      <c r="B11" s="12"/>
      <c r="C11" s="12"/>
      <c r="D11" s="12"/>
      <c r="E11" s="12"/>
      <c r="F11" s="12"/>
      <c r="G11" s="12"/>
      <c r="H11" s="12"/>
      <c r="I11" s="12"/>
      <c r="J11" s="12"/>
      <c r="K11" s="12"/>
      <c r="L11" s="12"/>
    </row>
    <row r="12" spans="1:12" x14ac:dyDescent="0.25">
      <c r="A12" s="12"/>
      <c r="B12" s="12"/>
      <c r="C12" s="12"/>
      <c r="D12" s="12"/>
      <c r="E12" s="12"/>
      <c r="F12" s="12"/>
      <c r="G12" s="12"/>
      <c r="H12" s="12"/>
      <c r="I12" s="12"/>
      <c r="J12" s="12"/>
      <c r="K12" s="12"/>
      <c r="L12" s="12"/>
    </row>
    <row r="13" spans="1:12" x14ac:dyDescent="0.25">
      <c r="A13" s="12"/>
      <c r="B13" s="12"/>
      <c r="C13" s="12"/>
      <c r="D13" s="12"/>
      <c r="E13" s="12"/>
      <c r="F13" s="12"/>
      <c r="G13" s="12"/>
      <c r="H13" s="12"/>
      <c r="I13" s="12"/>
      <c r="J13" s="12"/>
      <c r="K13" s="12"/>
      <c r="L13" s="12"/>
    </row>
    <row r="14" spans="1:12" x14ac:dyDescent="0.25">
      <c r="A14" s="12"/>
      <c r="B14" s="12"/>
      <c r="C14" s="12"/>
      <c r="D14" s="12"/>
      <c r="E14" s="12"/>
      <c r="F14" s="12"/>
      <c r="G14" s="12"/>
      <c r="H14" s="12"/>
      <c r="I14" s="12"/>
      <c r="J14" s="12"/>
      <c r="K14" s="12"/>
      <c r="L14" s="12"/>
    </row>
    <row r="15" spans="1:12" x14ac:dyDescent="0.25">
      <c r="A15" s="12"/>
      <c r="B15" s="12"/>
      <c r="C15" s="12"/>
      <c r="D15" s="12"/>
      <c r="E15" s="12"/>
      <c r="F15" s="12"/>
      <c r="G15" s="12"/>
      <c r="H15" s="12"/>
      <c r="I15" s="12"/>
      <c r="J15" s="12"/>
      <c r="K15" s="12"/>
      <c r="L15" s="12"/>
    </row>
    <row r="16" spans="1:12" x14ac:dyDescent="0.25">
      <c r="A16" s="12"/>
      <c r="B16" s="12"/>
      <c r="C16" s="12"/>
      <c r="D16" s="12"/>
      <c r="E16" s="12"/>
      <c r="F16" s="12"/>
      <c r="G16" s="12"/>
      <c r="H16" s="12"/>
      <c r="I16" s="12"/>
      <c r="J16" s="12"/>
      <c r="K16" s="12"/>
      <c r="L16" s="12"/>
    </row>
    <row r="17" spans="1:12" x14ac:dyDescent="0.25">
      <c r="A17" s="12"/>
      <c r="B17" s="12"/>
      <c r="C17" s="12"/>
      <c r="D17" s="12"/>
      <c r="E17" s="12"/>
      <c r="F17" s="12"/>
      <c r="G17" s="12"/>
      <c r="H17" s="12"/>
      <c r="I17" s="12"/>
      <c r="J17" s="12"/>
      <c r="K17" s="12"/>
      <c r="L17" s="12"/>
    </row>
    <row r="18" spans="1:12" x14ac:dyDescent="0.25">
      <c r="A18" s="12"/>
      <c r="B18" s="12"/>
      <c r="C18" s="12"/>
      <c r="D18" s="12"/>
      <c r="E18" s="12"/>
      <c r="F18" s="12"/>
      <c r="G18" s="12"/>
      <c r="H18" s="12"/>
      <c r="I18" s="12"/>
      <c r="J18" s="12"/>
      <c r="K18" s="12"/>
      <c r="L18" s="12"/>
    </row>
    <row r="19" spans="1:12" x14ac:dyDescent="0.25">
      <c r="A19" s="12"/>
      <c r="B19" s="12"/>
      <c r="C19" s="12"/>
      <c r="D19" s="12"/>
      <c r="E19" s="12"/>
      <c r="F19" s="12"/>
      <c r="G19" s="12"/>
      <c r="H19" s="12"/>
      <c r="I19" s="12"/>
      <c r="J19" s="12"/>
      <c r="K19" s="12"/>
      <c r="L19" s="12"/>
    </row>
    <row r="20" spans="1:12" x14ac:dyDescent="0.25">
      <c r="A20" s="12"/>
      <c r="B20" s="12"/>
      <c r="C20" s="12"/>
      <c r="D20" s="12"/>
      <c r="E20" s="12"/>
      <c r="F20" s="12"/>
      <c r="G20" s="12"/>
      <c r="H20" s="12"/>
      <c r="I20" s="12"/>
      <c r="J20" s="12"/>
      <c r="K20" s="12"/>
      <c r="L20"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election activeCell="B4" sqref="B4"/>
    </sheetView>
  </sheetViews>
  <sheetFormatPr defaultRowHeight="15" x14ac:dyDescent="0.25"/>
  <sheetData>
    <row r="1" spans="1:13" x14ac:dyDescent="0.25">
      <c r="A1" s="12"/>
      <c r="B1" s="12"/>
      <c r="C1" s="12"/>
      <c r="D1" s="12"/>
      <c r="E1" s="12"/>
      <c r="F1" s="12"/>
      <c r="G1" s="12"/>
      <c r="H1" s="12"/>
      <c r="I1" s="12"/>
      <c r="J1" s="12"/>
      <c r="K1" s="12"/>
      <c r="L1" s="12"/>
      <c r="M1" s="12"/>
    </row>
    <row r="2" spans="1:13" x14ac:dyDescent="0.25">
      <c r="A2" s="12"/>
      <c r="B2" s="12"/>
      <c r="C2" s="12"/>
      <c r="D2" s="12"/>
      <c r="E2" s="12"/>
      <c r="F2" s="12"/>
      <c r="G2" s="12"/>
      <c r="H2" s="12"/>
      <c r="I2" s="12"/>
      <c r="J2" s="12"/>
      <c r="K2" s="12"/>
      <c r="L2" s="12"/>
      <c r="M2" s="12"/>
    </row>
    <row r="3" spans="1:13" x14ac:dyDescent="0.25">
      <c r="A3" s="12"/>
      <c r="B3" s="12"/>
      <c r="C3" s="12"/>
      <c r="D3" s="12"/>
      <c r="E3" s="12"/>
      <c r="F3" s="12"/>
      <c r="G3" s="12"/>
      <c r="H3" s="12"/>
      <c r="I3" s="12"/>
      <c r="J3" s="12"/>
      <c r="K3" s="12"/>
      <c r="L3" s="12"/>
      <c r="M3" s="12"/>
    </row>
    <row r="4" spans="1:13" x14ac:dyDescent="0.25">
      <c r="A4" s="12"/>
      <c r="B4" s="12"/>
      <c r="C4" s="12"/>
      <c r="D4" s="12"/>
      <c r="E4" s="12"/>
      <c r="F4" s="12"/>
      <c r="G4" s="12"/>
      <c r="H4" s="12"/>
      <c r="I4" s="12"/>
      <c r="J4" s="12"/>
      <c r="K4" s="12"/>
      <c r="L4" s="12"/>
      <c r="M4" s="12"/>
    </row>
    <row r="5" spans="1:13" x14ac:dyDescent="0.25">
      <c r="A5" s="12"/>
      <c r="B5" s="12"/>
      <c r="C5" s="12"/>
      <c r="D5" s="12"/>
      <c r="E5" s="12"/>
      <c r="F5" s="12"/>
      <c r="G5" s="12"/>
      <c r="H5" s="12"/>
      <c r="I5" s="12"/>
      <c r="J5" s="12"/>
      <c r="K5" s="12"/>
      <c r="L5" s="12"/>
      <c r="M5" s="12"/>
    </row>
    <row r="6" spans="1:13" x14ac:dyDescent="0.25">
      <c r="A6" s="12"/>
      <c r="B6" s="12"/>
      <c r="C6" s="12"/>
      <c r="D6" s="12"/>
      <c r="E6" s="12"/>
      <c r="F6" s="12"/>
      <c r="G6" s="12"/>
      <c r="H6" s="12"/>
      <c r="I6" s="12"/>
      <c r="J6" s="12"/>
      <c r="K6" s="12"/>
      <c r="L6" s="12"/>
      <c r="M6" s="12"/>
    </row>
    <row r="7" spans="1:13" x14ac:dyDescent="0.25">
      <c r="A7" s="12"/>
      <c r="B7" s="12"/>
      <c r="C7" s="12"/>
      <c r="D7" s="12"/>
      <c r="E7" s="12"/>
      <c r="F7" s="12"/>
      <c r="G7" s="12"/>
      <c r="H7" s="12"/>
      <c r="I7" s="12"/>
      <c r="J7" s="12"/>
      <c r="K7" s="12"/>
      <c r="L7" s="12"/>
      <c r="M7" s="12"/>
    </row>
    <row r="8" spans="1:13" x14ac:dyDescent="0.25">
      <c r="A8" s="12"/>
      <c r="B8" s="12"/>
      <c r="C8" s="12"/>
      <c r="D8" s="12"/>
      <c r="E8" s="12"/>
      <c r="F8" s="12"/>
      <c r="G8" s="12"/>
      <c r="H8" s="12"/>
      <c r="I8" s="12"/>
      <c r="J8" s="12"/>
      <c r="K8" s="12"/>
      <c r="L8" s="12"/>
      <c r="M8" s="12"/>
    </row>
    <row r="9" spans="1:13" x14ac:dyDescent="0.25">
      <c r="A9" s="12"/>
      <c r="B9" s="12"/>
      <c r="C9" s="12"/>
      <c r="D9" s="12"/>
      <c r="E9" s="12"/>
      <c r="F9" s="12"/>
      <c r="G9" s="12"/>
      <c r="H9" s="12"/>
      <c r="I9" s="12"/>
      <c r="J9" s="12"/>
      <c r="K9" s="12"/>
      <c r="L9" s="12"/>
      <c r="M9" s="12"/>
    </row>
    <row r="10" spans="1:13" x14ac:dyDescent="0.25">
      <c r="A10" s="12"/>
      <c r="B10" s="12"/>
      <c r="C10" s="12"/>
      <c r="D10" s="12"/>
      <c r="E10" s="12"/>
      <c r="F10" s="12"/>
      <c r="G10" s="12"/>
      <c r="H10" s="12"/>
      <c r="I10" s="12"/>
      <c r="J10" s="12"/>
      <c r="K10" s="12"/>
      <c r="L10" s="12"/>
      <c r="M10" s="12"/>
    </row>
    <row r="11" spans="1:13" x14ac:dyDescent="0.25">
      <c r="A11" s="12"/>
      <c r="B11" s="12"/>
      <c r="C11" s="12"/>
      <c r="D11" s="12"/>
      <c r="E11" s="12"/>
      <c r="F11" s="12"/>
      <c r="G11" s="12"/>
      <c r="H11" s="12"/>
      <c r="I11" s="12"/>
      <c r="J11" s="12"/>
      <c r="K11" s="12"/>
      <c r="L11" s="12"/>
      <c r="M11" s="12"/>
    </row>
    <row r="12" spans="1:13" x14ac:dyDescent="0.25">
      <c r="A12" s="12"/>
      <c r="B12" s="12"/>
      <c r="C12" s="12"/>
      <c r="D12" s="12"/>
      <c r="E12" s="12"/>
      <c r="F12" s="12"/>
      <c r="G12" s="12"/>
      <c r="H12" s="12"/>
      <c r="I12" s="12"/>
      <c r="J12" s="12"/>
      <c r="K12" s="12"/>
      <c r="L12" s="12"/>
      <c r="M12" s="12"/>
    </row>
    <row r="13" spans="1:13" x14ac:dyDescent="0.25">
      <c r="A13" s="12"/>
      <c r="B13" s="12"/>
      <c r="C13" s="12"/>
      <c r="D13" s="12"/>
      <c r="E13" s="12"/>
      <c r="F13" s="12"/>
      <c r="G13" s="12"/>
      <c r="H13" s="12"/>
      <c r="I13" s="12"/>
      <c r="J13" s="12"/>
      <c r="K13" s="12"/>
      <c r="L13" s="12"/>
      <c r="M13" s="12"/>
    </row>
    <row r="14" spans="1:13" x14ac:dyDescent="0.25">
      <c r="A14" s="12"/>
      <c r="B14" s="12"/>
      <c r="C14" s="12"/>
      <c r="D14" s="12"/>
      <c r="E14" s="12"/>
      <c r="F14" s="12"/>
      <c r="G14" s="12"/>
      <c r="H14" s="12"/>
      <c r="I14" s="12"/>
      <c r="J14" s="12"/>
      <c r="K14" s="12"/>
      <c r="L14" s="12"/>
      <c r="M14" s="12"/>
    </row>
    <row r="15" spans="1:13" x14ac:dyDescent="0.25">
      <c r="A15" s="12"/>
      <c r="B15" s="12"/>
      <c r="C15" s="12"/>
      <c r="D15" s="12"/>
      <c r="E15" s="12"/>
      <c r="F15" s="12"/>
      <c r="G15" s="12"/>
      <c r="H15" s="12"/>
      <c r="I15" s="12"/>
      <c r="J15" s="12"/>
      <c r="K15" s="12"/>
      <c r="L15" s="12"/>
      <c r="M15" s="12"/>
    </row>
    <row r="16" spans="1:13" x14ac:dyDescent="0.25">
      <c r="A16" s="12"/>
      <c r="B16" s="12"/>
      <c r="C16" s="12"/>
      <c r="D16" s="12"/>
      <c r="E16" s="12"/>
      <c r="F16" s="12"/>
      <c r="G16" s="12"/>
      <c r="H16" s="12"/>
      <c r="I16" s="12"/>
      <c r="J16" s="12"/>
      <c r="K16" s="12"/>
      <c r="L16" s="12"/>
      <c r="M16" s="12"/>
    </row>
    <row r="17" spans="1:13" x14ac:dyDescent="0.25">
      <c r="A17" s="12"/>
      <c r="B17" s="12"/>
      <c r="C17" s="12"/>
      <c r="D17" s="12"/>
      <c r="E17" s="12"/>
      <c r="F17" s="12"/>
      <c r="G17" s="12"/>
      <c r="H17" s="12"/>
      <c r="I17" s="12"/>
      <c r="J17" s="12"/>
      <c r="K17" s="12"/>
      <c r="L17" s="12"/>
      <c r="M17" s="12"/>
    </row>
    <row r="18" spans="1:13" x14ac:dyDescent="0.25">
      <c r="A18" s="12"/>
      <c r="B18" s="12"/>
      <c r="C18" s="12"/>
      <c r="D18" s="12"/>
      <c r="E18" s="12"/>
      <c r="F18" s="12"/>
      <c r="G18" s="12"/>
      <c r="H18" s="12"/>
      <c r="I18" s="12"/>
      <c r="J18" s="12"/>
      <c r="K18" s="12"/>
      <c r="L18" s="12"/>
      <c r="M18" s="12"/>
    </row>
    <row r="19" spans="1:13" x14ac:dyDescent="0.25">
      <c r="A19" s="12"/>
      <c r="B19" s="12"/>
      <c r="C19" s="12"/>
      <c r="D19" s="12"/>
      <c r="E19" s="12"/>
      <c r="F19" s="12"/>
      <c r="G19" s="12"/>
      <c r="H19" s="12"/>
      <c r="I19" s="12"/>
      <c r="J19" s="12"/>
      <c r="K19" s="12"/>
      <c r="L19" s="12"/>
      <c r="M19" s="12"/>
    </row>
    <row r="20" spans="1:13" x14ac:dyDescent="0.25">
      <c r="A20" s="12"/>
      <c r="B20" s="12"/>
      <c r="C20" s="12"/>
      <c r="D20" s="12"/>
      <c r="E20" s="12"/>
      <c r="F20" s="12"/>
      <c r="G20" s="12"/>
      <c r="H20" s="12"/>
      <c r="I20" s="12"/>
      <c r="J20" s="12"/>
      <c r="K20" s="12"/>
      <c r="L20" s="12"/>
      <c r="M20" s="1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7EB9318-F2F6-4512-A5F4-09864E0CD9EC}">
  <ds:schemaRefs/>
</ds:datastoreItem>
</file>

<file path=customXml/itemProps2.xml><?xml version="1.0" encoding="utf-8"?>
<ds:datastoreItem xmlns:ds="http://schemas.openxmlformats.org/officeDocument/2006/customXml" ds:itemID="{576CD073-1E07-45CC-8470-3A365DFD3F7A}">
  <ds:schemaRefs/>
</ds:datastoreItem>
</file>

<file path=customXml/itemProps3.xml><?xml version="1.0" encoding="utf-8"?>
<ds:datastoreItem xmlns:ds="http://schemas.openxmlformats.org/officeDocument/2006/customXml" ds:itemID="{B5F23986-4109-41B9-BED3-4C21B0337A3D}">
  <ds:schemaRefs/>
</ds:datastoreItem>
</file>

<file path=customXml/itemProps4.xml><?xml version="1.0" encoding="utf-8"?>
<ds:datastoreItem xmlns:ds="http://schemas.openxmlformats.org/officeDocument/2006/customXml" ds:itemID="{A5074A46-E43F-4FDB-A626-CA193104D74B}">
  <ds:schemaRefs/>
</ds:datastoreItem>
</file>

<file path=customXml/itemProps5.xml><?xml version="1.0" encoding="utf-8"?>
<ds:datastoreItem xmlns:ds="http://schemas.openxmlformats.org/officeDocument/2006/customXml" ds:itemID="{165ABDAD-D2D1-43B2-8E86-42C4B780227D}">
  <ds:schemaRefs>
    <ds:schemaRef ds:uri="http://schemas.microsoft.com/DataMashup"/>
  </ds:schemaRefs>
</ds:datastoreItem>
</file>

<file path=customXml/itemProps6.xml><?xml version="1.0" encoding="utf-8"?>
<ds:datastoreItem xmlns:ds="http://schemas.openxmlformats.org/officeDocument/2006/customXml" ds:itemID="{65C47D82-5AB0-4806-944E-B84EC5F14533}">
  <ds:schemaRefs/>
</ds:datastoreItem>
</file>

<file path=customXml/itemProps7.xml><?xml version="1.0" encoding="utf-8"?>
<ds:datastoreItem xmlns:ds="http://schemas.openxmlformats.org/officeDocument/2006/customXml" ds:itemID="{439859DA-3D66-43EF-AB35-F4C92BF3CA34}">
  <ds:schemaRefs/>
</ds:datastoreItem>
</file>

<file path=customXml/itemProps8.xml><?xml version="1.0" encoding="utf-8"?>
<ds:datastoreItem xmlns:ds="http://schemas.openxmlformats.org/officeDocument/2006/customXml" ds:itemID="{4A8C4A78-84FC-41BF-8580-3863B6E291D4}">
  <ds:schemaRefs/>
</ds:datastoreItem>
</file>

<file path=customXml/itemProps9.xml><?xml version="1.0" encoding="utf-8"?>
<ds:datastoreItem xmlns:ds="http://schemas.openxmlformats.org/officeDocument/2006/customXml" ds:itemID="{ACC499DC-D8BF-4512-88E8-CE0483FDA2F2}">
  <ds:schemaRefs/>
</ds:datastoreItem>
</file>

<file path=customXml/itemProps10.xml><?xml version="1.0" encoding="utf-8"?>
<ds:datastoreItem xmlns:ds="http://schemas.openxmlformats.org/officeDocument/2006/customXml" ds:itemID="{B1FAFBA9-728F-4664-AF5F-176D724C6223}">
  <ds:schemaRefs/>
</ds:datastoreItem>
</file>

<file path=customXml/itemProps11.xml><?xml version="1.0" encoding="utf-8"?>
<ds:datastoreItem xmlns:ds="http://schemas.openxmlformats.org/officeDocument/2006/customXml" ds:itemID="{7D83C856-C4A5-4E26-A377-C0B6E8AD13EC}">
  <ds:schemaRefs/>
</ds:datastoreItem>
</file>

<file path=customXml/itemProps12.xml><?xml version="1.0" encoding="utf-8"?>
<ds:datastoreItem xmlns:ds="http://schemas.openxmlformats.org/officeDocument/2006/customXml" ds:itemID="{9C9120A3-4E9E-4134-BA32-A454F0F11B57}">
  <ds:schemaRefs/>
</ds:datastoreItem>
</file>

<file path=customXml/itemProps13.xml><?xml version="1.0" encoding="utf-8"?>
<ds:datastoreItem xmlns:ds="http://schemas.openxmlformats.org/officeDocument/2006/customXml" ds:itemID="{C9BBC3BC-EBF1-4DC4-AC57-BC32FFBF0599}">
  <ds:schemaRefs/>
</ds:datastoreItem>
</file>

<file path=customXml/itemProps14.xml><?xml version="1.0" encoding="utf-8"?>
<ds:datastoreItem xmlns:ds="http://schemas.openxmlformats.org/officeDocument/2006/customXml" ds:itemID="{E258FE51-D692-482C-8836-A50DFEF422DA}">
  <ds:schemaRefs/>
</ds:datastoreItem>
</file>

<file path=customXml/itemProps15.xml><?xml version="1.0" encoding="utf-8"?>
<ds:datastoreItem xmlns:ds="http://schemas.openxmlformats.org/officeDocument/2006/customXml" ds:itemID="{33E3A05F-07F9-4E46-A400-4357FB1EE343}">
  <ds:schemaRefs/>
</ds:datastoreItem>
</file>

<file path=customXml/itemProps16.xml><?xml version="1.0" encoding="utf-8"?>
<ds:datastoreItem xmlns:ds="http://schemas.openxmlformats.org/officeDocument/2006/customXml" ds:itemID="{757FD16F-BF03-40B6-9799-B966A1CAD81E}">
  <ds:schemaRefs/>
</ds:datastoreItem>
</file>

<file path=customXml/itemProps17.xml><?xml version="1.0" encoding="utf-8"?>
<ds:datastoreItem xmlns:ds="http://schemas.openxmlformats.org/officeDocument/2006/customXml" ds:itemID="{DB1214DD-19BC-42C1-A5E2-5158B7F2EABA}">
  <ds:schemaRefs/>
</ds:datastoreItem>
</file>

<file path=customXml/itemProps18.xml><?xml version="1.0" encoding="utf-8"?>
<ds:datastoreItem xmlns:ds="http://schemas.openxmlformats.org/officeDocument/2006/customXml" ds:itemID="{D6CBB575-158B-4E22-8CD0-ABD1C1A999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vt:lpstr>
      <vt:lpstr>DASHBOARD</vt:lpstr>
      <vt:lpstr>no of patients</vt:lpstr>
      <vt:lpstr>avg 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2026-06-01T17:06:28Z</dcterms:created>
  <dcterms:modified xsi:type="dcterms:W3CDTF">2026-06-26T17:07:17Z</dcterms:modified>
</cp:coreProperties>
</file>